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Единый план" sheetId="1" r:id="rId4"/>
  </sheets>
  <definedNames/>
  <calcPr/>
  <extLst>
    <ext uri="GoogleSheetsCustomDataVersion2">
      <go:sheetsCustomData xmlns:go="http://customooxmlschemas.google.com/" r:id="rId5" roundtripDataChecksum="XqI9UEchG+7R8t5lO64etEdGMgqVVhJ3tSUrZLjhkyc="/>
    </ext>
  </extLst>
</workbook>
</file>

<file path=xl/sharedStrings.xml><?xml version="1.0" encoding="utf-8"?>
<sst xmlns="http://schemas.openxmlformats.org/spreadsheetml/2006/main" count="1241" uniqueCount="515">
  <si>
    <t>Семейный план</t>
  </si>
  <si>
    <t>Всего записей</t>
  </si>
  <si>
    <t>Готово</t>
  </si>
  <si>
    <t>В работе</t>
  </si>
  <si>
    <t>Просрочено</t>
  </si>
  <si>
    <t>Критических не готово</t>
  </si>
  <si>
    <t>ID</t>
  </si>
  <si>
    <t>Тип записи</t>
  </si>
  <si>
    <t>Блок</t>
  </si>
  <si>
    <t>Задача / позиция</t>
  </si>
  <si>
    <t>Готовый результат / описание</t>
  </si>
  <si>
    <t>Приоритет</t>
  </si>
  <si>
    <t>Ответственный</t>
  </si>
  <si>
    <t>Неделя 1 28.07-02.08</t>
  </si>
  <si>
    <t>Неделя 2 03.08-09.08</t>
  </si>
  <si>
    <t>Неделя 3 10.08-16.08</t>
  </si>
  <si>
    <t>Неделя 4 17.08-23.08</t>
  </si>
  <si>
    <t>Неделя 5 24.08-30.09</t>
  </si>
  <si>
    <t>Неделя 6 31.08-06.10</t>
  </si>
  <si>
    <t>Неделя 7 07.09-13.09</t>
  </si>
  <si>
    <t>Неделя 8 14.09-20.09</t>
  </si>
  <si>
    <t>Неделя 9 21.09-27.09</t>
  </si>
  <si>
    <t>Дедлайн</t>
  </si>
  <si>
    <t>Статус</t>
  </si>
  <si>
    <t>Следующий шаг</t>
  </si>
  <si>
    <t>До родов</t>
  </si>
  <si>
    <t>Трудоёмкость / количество</t>
  </si>
  <si>
    <t>Ссылка на товар / документ / проект</t>
  </si>
  <si>
    <t>Фото / референс</t>
  </si>
  <si>
    <t>Модель / артикул / магазин</t>
  </si>
  <si>
    <t>Бюджет, €</t>
  </si>
  <si>
    <t>Факт, €</t>
  </si>
  <si>
    <t>Примечание</t>
  </si>
  <si>
    <t>Организация</t>
  </si>
  <si>
    <t>P-001</t>
  </si>
  <si>
    <t>Основная задача</t>
  </si>
  <si>
    <t>Утвердить единый способ ведения проекта</t>
  </si>
  <si>
    <t>Google Таблица — основной источник; при необходимости Trello только для задач текущей недели</t>
  </si>
  <si>
    <t>Критический</t>
  </si>
  <si>
    <t>Вместе</t>
  </si>
  <si>
    <t>Открыть таблицу, назначить ответственных и статусы</t>
  </si>
  <si>
    <t>Да</t>
  </si>
  <si>
    <t>30 мин</t>
  </si>
  <si>
    <t>P-002</t>
  </si>
  <si>
    <t>Провести семейный разбор задач</t>
  </si>
  <si>
    <t>Каждая задача имеет владельца, дедлайн и конкретный следующий шаг</t>
  </si>
  <si>
    <t>Пройти строки плана сверху вниз и распределить работу</t>
  </si>
  <si>
    <t>45 мин</t>
  </si>
  <si>
    <t>P-003</t>
  </si>
  <si>
    <t>Ввести еженедельный контроль</t>
  </si>
  <si>
    <t>Раз в неделю 20 минут: завершённое, просроченное, план на 7 дней</t>
  </si>
  <si>
    <t>Высокий</t>
  </si>
  <si>
    <t>Выбрать постоянный день и время</t>
  </si>
  <si>
    <t>Нет</t>
  </si>
  <si>
    <t>20 мин/нед.</t>
  </si>
  <si>
    <t>Роды и малыш</t>
  </si>
  <si>
    <t>Роддом</t>
  </si>
  <si>
    <t>Запись на консультацию</t>
  </si>
  <si>
    <t>Поездка в роддом на консультацию</t>
  </si>
  <si>
    <t>BUY-001</t>
  </si>
  <si>
    <t>Покупка</t>
  </si>
  <si>
    <t>Документы и папка</t>
  </si>
  <si>
    <t>Обязательно. Уже есть: Нет. Нужно купить: Да.</t>
  </si>
  <si>
    <t>Галя</t>
  </si>
  <si>
    <t>Не начато</t>
  </si>
  <si>
    <t>Выбрать модель, вставить ссылку и заказать</t>
  </si>
  <si>
    <t>Сверить с требованиями роддома</t>
  </si>
  <si>
    <t>BUY-002</t>
  </si>
  <si>
    <t>Одежда и гигиена для мамы</t>
  </si>
  <si>
    <t>Обязательно. Уже есть: Частично. Нужно купить: Да.</t>
  </si>
  <si>
    <t>По отдельному чек-листу</t>
  </si>
  <si>
    <t>BUY-003</t>
  </si>
  <si>
    <t>Комплект малышу на выписку</t>
  </si>
  <si>
    <t>Учесть погоду начала сентября</t>
  </si>
  <si>
    <t>BUY-004</t>
  </si>
  <si>
    <t>Малыш</t>
  </si>
  <si>
    <t>Безопасное место сна</t>
  </si>
  <si>
    <t>Обязательно. Уже есть: Уточнить. Нужно купить: Уточнить.</t>
  </si>
  <si>
    <t>Сергей</t>
  </si>
  <si>
    <t>Проверить наличие и принять решение</t>
  </si>
  <si>
    <t>Не покупать лишний текстиль</t>
  </si>
  <si>
    <t>BUY-005</t>
  </si>
  <si>
    <t>Автолюлька</t>
  </si>
  <si>
    <t>Проверить установку</t>
  </si>
  <si>
    <t>BUY-006</t>
  </si>
  <si>
    <t>Подгузники NB/1</t>
  </si>
  <si>
    <t>Не делать огромный запас одного размера</t>
  </si>
  <si>
    <t>BUY-007</t>
  </si>
  <si>
    <t>Базовая одежда 50/56 и 62</t>
  </si>
  <si>
    <t>Обязательно. Уже есть: Частично. Нужно купить: Уточнить.</t>
  </si>
  <si>
    <t>По списку</t>
  </si>
  <si>
    <t>Сначала инвентаризация</t>
  </si>
  <si>
    <t>B-001</t>
  </si>
  <si>
    <t>Составить полный список покупок малышу</t>
  </si>
  <si>
    <t>Разделено на обязательное до рождения, можно купить позже, уже есть</t>
  </si>
  <si>
    <t>Провести инвентаризацию уже купленного</t>
  </si>
  <si>
    <t>1 ч</t>
  </si>
  <si>
    <t>B-002</t>
  </si>
  <si>
    <t>Составить список вещей в роддом</t>
  </si>
  <si>
    <t>Отдельные списки: документы, мама, ребёнок, сопровождающий</t>
  </si>
  <si>
    <t>Сверить требования выбранного роддома</t>
  </si>
  <si>
    <t>B-003</t>
  </si>
  <si>
    <t>Купить недостающее для роддома</t>
  </si>
  <si>
    <t>Все позиции куплены, проверены и разложены по пакетам</t>
  </si>
  <si>
    <t>Заказать позиции с долгой доставкой первыми</t>
  </si>
  <si>
    <t>2–3 ч</t>
  </si>
  <si>
    <t>B-004</t>
  </si>
  <si>
    <t>Собрать сумки в роддом</t>
  </si>
  <si>
    <t>Сумки полностью готовы и стоят в известном месте</t>
  </si>
  <si>
    <t>Подписать пакеты и положить список содержимого сверху</t>
  </si>
  <si>
    <t>2 ч</t>
  </si>
  <si>
    <t>B-005</t>
  </si>
  <si>
    <t>Подготовить документы и маршрут в роддом</t>
  </si>
  <si>
    <t>Документы собраны; адрес, вход, парковка/такси и телефоны записаны</t>
  </si>
  <si>
    <t>Сделать один бумажный и один цифровой чек-лист</t>
  </si>
  <si>
    <t>B-006</t>
  </si>
  <si>
    <t>Организовать план для Вари и собаки на время родов</t>
  </si>
  <si>
    <t>Есть основной и резервный взрослый, ключи, инструкции и контакты</t>
  </si>
  <si>
    <t>Назначить основного и запасного помощника</t>
  </si>
  <si>
    <t>B-007</t>
  </si>
  <si>
    <t>Подготовить место сна малыша</t>
  </si>
  <si>
    <t>Кроватка/приставная кровать собрана, матрас и два комплекта белья готовы</t>
  </si>
  <si>
    <t>Проверить, что именно уже куплено</t>
  </si>
  <si>
    <t>B-008</t>
  </si>
  <si>
    <t>Подготовить место переодевания и хранения</t>
  </si>
  <si>
    <t>Подгузники, одежда, пелёнки и уход доступны одной рукой</t>
  </si>
  <si>
    <t>Освободить один ящик/секцию шкафа</t>
  </si>
  <si>
    <t>B-009</t>
  </si>
  <si>
    <t>Постирать и рассортировать первые вещи</t>
  </si>
  <si>
    <t>Одежда 50/56 и 62 выстирана, подписана и разложена</t>
  </si>
  <si>
    <t>Отделить вещи первых 4–6 недель</t>
  </si>
  <si>
    <t>B-010</t>
  </si>
  <si>
    <t>Проверить автолюльку и транспорт домой</t>
  </si>
  <si>
    <t>Автолюлька установлена или понятен безопасный способ поездки домой</t>
  </si>
  <si>
    <t>Проверить совместимость с автомобилем и инструкцию</t>
  </si>
  <si>
    <t>1–2 ч</t>
  </si>
  <si>
    <t>B-011</t>
  </si>
  <si>
    <t>Сделать запас бытовых расходников и простой еды</t>
  </si>
  <si>
    <t>На 10–14 дней есть базовая еда, гигиена, средства для стирки и собаки</t>
  </si>
  <si>
    <t>Составить список и оформить доставку</t>
  </si>
  <si>
    <t>B-012</t>
  </si>
  <si>
    <t>Установить режим «без тяжёлых проектов»</t>
  </si>
  <si>
    <t>После 23 августа остаются только мелкие задачи до 30 минут</t>
  </si>
  <si>
    <t>Перенести всё неготовое и некритичное на октябрь</t>
  </si>
  <si>
    <t>15 мин</t>
  </si>
  <si>
    <t>Ремонт</t>
  </si>
  <si>
    <t>Спальня</t>
  </si>
  <si>
    <t>BUY-008</t>
  </si>
  <si>
    <t>Потолочный светильник</t>
  </si>
  <si>
    <t>Важно. Уже есть: Нет. Нужно купить: Да.</t>
  </si>
  <si>
    <t>BUY-009</t>
  </si>
  <si>
    <t>Настенные светильники</t>
  </si>
  <si>
    <t>BUY-010</t>
  </si>
  <si>
    <t>Плиссе</t>
  </si>
  <si>
    <t>По окнам</t>
  </si>
  <si>
    <t>Только после точных замеров</t>
  </si>
  <si>
    <t>S-001</t>
  </si>
  <si>
    <t>Выбрать потолочный светильник</t>
  </si>
  <si>
    <t>Конкретная модель заказана, срок доставки известен</t>
  </si>
  <si>
    <t>Согласовать размер, цвет, яркость и бюджет</t>
  </si>
  <si>
    <t>S-002</t>
  </si>
  <si>
    <t>Выбрать настенные светильники</t>
  </si>
  <si>
    <t>Пара светильников заказана; определён способ подключения</t>
  </si>
  <si>
    <t>Проверить выводы питания и необходимость электрика</t>
  </si>
  <si>
    <t>S-003</t>
  </si>
  <si>
    <t>Установить потолочный и настенные светильники</t>
  </si>
  <si>
    <t>Светильники безопасно установлены и работают</t>
  </si>
  <si>
    <t>Мастер/электрик</t>
  </si>
  <si>
    <t>Назначить дату монтажа сразу после заказа</t>
  </si>
  <si>
    <t>S-004</t>
  </si>
  <si>
    <t>Определить функцию стены напротив кровати</t>
  </si>
  <si>
    <t>Принято одно решение: оставить пустой, декор, узкий стеллаж или хранение</t>
  </si>
  <si>
    <t>Средний</t>
  </si>
  <si>
    <t>Измерить стену и проход; не покупать мебель до разбора шкафа</t>
  </si>
  <si>
    <t>S-005</t>
  </si>
  <si>
    <t>Замерить и заказать плиссе</t>
  </si>
  <si>
    <t>Размеры проверены, модель заказана</t>
  </si>
  <si>
    <t>Замерить каждую створку отдельно и проверить способ крепления</t>
  </si>
  <si>
    <t>S-006</t>
  </si>
  <si>
    <t>Установить плиссе</t>
  </si>
  <si>
    <t>Приватность и защита от света обеспечены</t>
  </si>
  <si>
    <t>Установить сразу после доставки</t>
  </si>
  <si>
    <t>Кладовая и шкафы</t>
  </si>
  <si>
    <t>Короба, дополнительные полки</t>
  </si>
  <si>
    <t>W-001</t>
  </si>
  <si>
    <t>Полностью разобрать кладовую</t>
  </si>
  <si>
    <t>Всё вынуто, рассортировано: оставить, перенести, отдать, выбросить</t>
  </si>
  <si>
    <t>Забронировать один трёхчасовой блок без параллельных дел</t>
  </si>
  <si>
    <t>3 ч</t>
  </si>
  <si>
    <t>W-002</t>
  </si>
  <si>
    <t>Спроектировать хранение в кладовой</t>
  </si>
  <si>
    <t>У каждой категории есть постоянное место; проход и техника доступны</t>
  </si>
  <si>
    <t>Составить схему по фактическим категориям после разбора</t>
  </si>
  <si>
    <t>W-003</t>
  </si>
  <si>
    <t>Разобрать шкаф Гали</t>
  </si>
  <si>
    <t>Освобождены секции, одежда отсортирована по сезону и использованию</t>
  </si>
  <si>
    <t>Сначала убрать вещи, которые не понадобятся до ноября</t>
  </si>
  <si>
    <t>W-004</t>
  </si>
  <si>
    <t>Переместить вещи и освободить место малышу</t>
  </si>
  <si>
    <t>Выделено конкретное место для одежды и текстиля малыша</t>
  </si>
  <si>
    <t>Освободить минимум одну секцию и два ящика</t>
  </si>
  <si>
    <t>W-005</t>
  </si>
  <si>
    <t>Решить, нужен ли узкий стеллаж напротив кровати</t>
  </si>
  <si>
    <t>Решение принято только после замеров и разбора шкафа</t>
  </si>
  <si>
    <t>Проверить глубину, проход и реальную потребность в хранении</t>
  </si>
  <si>
    <t>W-006</t>
  </si>
  <si>
    <t>Купить и установить организацию хранения</t>
  </si>
  <si>
    <t>Короба/полки подписаны; нет вещей без места</t>
  </si>
  <si>
    <t>Покупать только по готовой схеме и размерам</t>
  </si>
  <si>
    <t>2–4 ч</t>
  </si>
  <si>
    <t>Комната Вари</t>
  </si>
  <si>
    <t>BUY-011</t>
  </si>
  <si>
    <t>Розетки/электроматериалы</t>
  </si>
  <si>
    <t>По проекту</t>
  </si>
  <si>
    <t>V-001</t>
  </si>
  <si>
    <t>Разобрать комнату Вари вместе с ней</t>
  </si>
  <si>
    <t>Игрушки, книги, творчество и школа разделены; лишнее убрано</t>
  </si>
  <si>
    <t>Сделать два коротких сеанса вместо одного большого</t>
  </si>
  <si>
    <t>2×1 ч</t>
  </si>
  <si>
    <t>V-002</t>
  </si>
  <si>
    <t>Подготовить письменный стол ко 2 классу</t>
  </si>
  <si>
    <t>Рабочая поверхность свободна, есть свет и доступные розетки</t>
  </si>
  <si>
    <t>Определить положение стола и список техники</t>
  </si>
  <si>
    <t>V-003</t>
  </si>
  <si>
    <t>Сделать розетки у письменного стола</t>
  </si>
  <si>
    <t>Розетки безопасно установлены, удлинители не лежат в проходе</t>
  </si>
  <si>
    <t>Добавить работу в один выезд электрика со спальней</t>
  </si>
  <si>
    <t>V-004</t>
  </si>
  <si>
    <t>Провести и закрепить гирлянду</t>
  </si>
  <si>
    <t>Гирлянда закреплена безопасно, провод не мешает и не натянут</t>
  </si>
  <si>
    <t>Определить маршрут кабеля и точку питания</t>
  </si>
  <si>
    <t>V-005</t>
  </si>
  <si>
    <t>Покрасить и собрать рейки</t>
  </si>
  <si>
    <t>Собранные рейки</t>
  </si>
  <si>
    <t>Гостиная и общие работы</t>
  </si>
  <si>
    <t>BUY-012</t>
  </si>
  <si>
    <t>Гостиная</t>
  </si>
  <si>
    <t>Светильник</t>
  </si>
  <si>
    <t>Можно позже. Уже есть: Нет. Нужно купить: Да.</t>
  </si>
  <si>
    <t>Низкий</t>
  </si>
  <si>
    <t>Отложить, если мешает критическим задачам</t>
  </si>
  <si>
    <t>H-001</t>
  </si>
  <si>
    <t>Выбрать светильник в гостиную</t>
  </si>
  <si>
    <t>Модель выбрана и заказана</t>
  </si>
  <si>
    <t>Согласовать с существующим интерьером и спальней</t>
  </si>
  <si>
    <t>H-002</t>
  </si>
  <si>
    <t>Установить светильник в гостиной</t>
  </si>
  <si>
    <t>Светильник установлен и работает</t>
  </si>
  <si>
    <t>Объединить с другими электромонтажными работами</t>
  </si>
  <si>
    <t>H-003</t>
  </si>
  <si>
    <t>Выбрать и поставить настольную лампу</t>
  </si>
  <si>
    <t>Лампа стоит в рабочем месте и решает задачу локального света</t>
  </si>
  <si>
    <t>Определить место и требуемую яркость</t>
  </si>
  <si>
    <t>H-004</t>
  </si>
  <si>
    <t>Приклеить все плинтусы</t>
  </si>
  <si>
    <t>Все отставшие участки закреплены и очищены</t>
  </si>
  <si>
    <t>Составить список участков и купить подходящий клей</t>
  </si>
  <si>
    <t>СУ</t>
  </si>
  <si>
    <t>Распечатать и приклеить херню на крышку унитаза или купить новую накладку с маленькой жопкой</t>
  </si>
  <si>
    <t>Докупить полотенца для рук, малышка или Варе</t>
  </si>
  <si>
    <t>Двор</t>
  </si>
  <si>
    <t>Согласовать проект</t>
  </si>
  <si>
    <t>КУпить зонт/павильон\стол\</t>
  </si>
  <si>
    <t xml:space="preserve">Монтаж </t>
  </si>
  <si>
    <t>Велостоянка 1</t>
  </si>
  <si>
    <t>Велостоянка 2</t>
  </si>
  <si>
    <t>Школа</t>
  </si>
  <si>
    <t>Купить школьные пренадлежности и материалы</t>
  </si>
  <si>
    <t>Купить все для спорта (кроссовки, штаны)</t>
  </si>
  <si>
    <t>Разобрать и докупить одежду на осень (обувь, куртки)</t>
  </si>
  <si>
    <t>День рождения</t>
  </si>
  <si>
    <t>D-001</t>
  </si>
  <si>
    <t>Утвердить формат и место праздника</t>
  </si>
  <si>
    <t>Определено: дом/двор/лес, длительность, план на дождь</t>
  </si>
  <si>
    <t>Выбрать один основной и один дождевой сценарий</t>
  </si>
  <si>
    <t>D-002</t>
  </si>
  <si>
    <t>Составить список гостей</t>
  </si>
  <si>
    <t>Есть имена детей, родители, язык общения и контакты</t>
  </si>
  <si>
    <t>Уточнить лимит детей и родителей</t>
  </si>
  <si>
    <t>D-003</t>
  </si>
  <si>
    <t>Разослать приглашения</t>
  </si>
  <si>
    <t>Все приглашения отправлены; указан срок ответа</t>
  </si>
  <si>
    <t>Подготовить немецкую и русскую версии</t>
  </si>
  <si>
    <t>D-004</t>
  </si>
  <si>
    <t>Собрать ответы и особенности гостей</t>
  </si>
  <si>
    <t>Известны количество гостей, аллергии и кто остаётся из родителей</t>
  </si>
  <si>
    <t>Вести ответы в отдельном листе</t>
  </si>
  <si>
    <t>10 мин/ответ</t>
  </si>
  <si>
    <t>D-005</t>
  </si>
  <si>
    <t>Составить список подарков для Вари</t>
  </si>
  <si>
    <t>Есть 10–15 конкретных вариантов в разных ценах</t>
  </si>
  <si>
    <t>Спросить Варю и исключить дубли</t>
  </si>
  <si>
    <t>D-006</t>
  </si>
  <si>
    <t>Выбрать концепцию заданий и поиска сокровищ</t>
  </si>
  <si>
    <t>Есть тема, маршрут, 6–8 коротких заданий и финальный клад</t>
  </si>
  <si>
    <t>Сделать задания понятными без длинных объяснений</t>
  </si>
  <si>
    <t>D-007</t>
  </si>
  <si>
    <t>Подготовить задания и реквизит</t>
  </si>
  <si>
    <t>Карточки готовы, распечатаны и разложены по конвертам</t>
  </si>
  <si>
    <t>Сделать тестовый проход маршрута</t>
  </si>
  <si>
    <t>D-008</t>
  </si>
  <si>
    <t>Выбрать подарки гостям</t>
  </si>
  <si>
    <t>Небольшие одинаковые наборы заказаны с запасом 2 штуки</t>
  </si>
  <si>
    <t>Избегать сладких пакетов как единственного подарка</t>
  </si>
  <si>
    <t>D-009</t>
  </si>
  <si>
    <t>Составить меню</t>
  </si>
  <si>
    <t>Меню подходит детям и взрослым, минимум готовки в день праздника</t>
  </si>
  <si>
    <t>Выбрать блюда, которые можно заказать или подготовить заранее</t>
  </si>
  <si>
    <t>D-010</t>
  </si>
  <si>
    <t>Заказать торт или утвердить простой домашний вариант</t>
  </si>
  <si>
    <t>Торт забронирован или рецепт и закупка окончательно определены</t>
  </si>
  <si>
    <t>Не оставлять сложную выпечку на послеродовой период</t>
  </si>
  <si>
    <t>D-011</t>
  </si>
  <si>
    <t>Купить декор и одноразовые расходники</t>
  </si>
  <si>
    <t>Всё получено и лежит в одной подписанной коробке</t>
  </si>
  <si>
    <t>Заказать с запасом времени на возврат</t>
  </si>
  <si>
    <t>D-012</t>
  </si>
  <si>
    <t>Составить поминутный план праздника</t>
  </si>
  <si>
    <t>Есть сценарий на 2,5–3 часа и резервные спокойные занятия</t>
  </si>
  <si>
    <t>Оставить минимум 30% времени свободным</t>
  </si>
  <si>
    <t>D-013</t>
  </si>
  <si>
    <t>Собрать коробку праздника</t>
  </si>
  <si>
    <t>В одной коробке: свечи, нож, салфетки, скотч, пакеты, задания, подарки</t>
  </si>
  <si>
    <t>Использовать контрольный список</t>
  </si>
  <si>
    <t>D-014</t>
  </si>
  <si>
    <t>Подтвердить гостей и заказ еды</t>
  </si>
  <si>
    <t>Финальное количество подтверждено, еда заказана</t>
  </si>
  <si>
    <t>Отправить короткое подтверждение родителям</t>
  </si>
  <si>
    <t>D-015</t>
  </si>
  <si>
    <t>Провести праздник</t>
  </si>
  <si>
    <t>Праздник проходит по простому плану без сложной готовки</t>
  </si>
  <si>
    <t>Распределить роли взрослых заранее</t>
  </si>
  <si>
    <t>3–4 ч</t>
  </si>
  <si>
    <t>Подарок Варе</t>
  </si>
  <si>
    <t>BUY-013</t>
  </si>
  <si>
    <t>Подарки гостям</t>
  </si>
  <si>
    <t>Гости + 2</t>
  </si>
  <si>
    <t>BUY-014</t>
  </si>
  <si>
    <t>Реквизит для поиска сокровищ</t>
  </si>
  <si>
    <t>BUY-015</t>
  </si>
  <si>
    <t>Декор и расходники</t>
  </si>
  <si>
    <t>Хранить одной коробкой</t>
  </si>
  <si>
    <t>BD-001</t>
  </si>
  <si>
    <t>Подзадача дня рождения</t>
  </si>
  <si>
    <t>Формат: Выбрать длительность 2,5–3 часа и число гостей</t>
  </si>
  <si>
    <t>Определён лимит детей и родителей</t>
  </si>
  <si>
    <t>Уточнить детали и закрыть подзадачу</t>
  </si>
  <si>
    <t>План Б: Сократить до ближайших друзей</t>
  </si>
  <si>
    <t>BD-002</t>
  </si>
  <si>
    <t>Место: Основной сценарий: двор/лес/дом</t>
  </si>
  <si>
    <t>Есть схема зон и туалета</t>
  </si>
  <si>
    <t>План Б: Полностью домашний сценарий</t>
  </si>
  <si>
    <t>BD-003</t>
  </si>
  <si>
    <t>Погода: Сделать дождевой сценарий</t>
  </si>
  <si>
    <t>Все активности помещаются в помещении</t>
  </si>
  <si>
    <t>План Б: Игры по станциям</t>
  </si>
  <si>
    <t>BD-004</t>
  </si>
  <si>
    <t>Гости: Список и контакты</t>
  </si>
  <si>
    <t>Заполнены дети, родители, язык, аллергии</t>
  </si>
  <si>
    <t>План Б: Ограничить число гостей</t>
  </si>
  <si>
    <t>BD-005</t>
  </si>
  <si>
    <t>Приглашения: Немецкая и русская версии</t>
  </si>
  <si>
    <t>Отправлены со сроком ответа</t>
  </si>
  <si>
    <t>План Б: Напоминание через 10 дней</t>
  </si>
  <si>
    <t>BD-006</t>
  </si>
  <si>
    <t>Программа: Приветствие и свободная игра — 20 мин</t>
  </si>
  <si>
    <t>Дети спокойно собираются</t>
  </si>
  <si>
    <t>План Б: Творческий стол</t>
  </si>
  <si>
    <t>BD-007</t>
  </si>
  <si>
    <t>Программа: Поиск сокровищ — 45–60 мин</t>
  </si>
  <si>
    <t>6–8 заданий, понятных на немецком</t>
  </si>
  <si>
    <t>План Б: Командные станции дома</t>
  </si>
  <si>
    <t>BD-008</t>
  </si>
  <si>
    <t>Программа: Еда и торт — 35–45 мин</t>
  </si>
  <si>
    <t>Нет сложной сервировки и долгого ожидания</t>
  </si>
  <si>
    <t>План Б: Порционные блюда</t>
  </si>
  <si>
    <t>BD-009</t>
  </si>
  <si>
    <t>Программа: Свободная игра/конкурс — 30–40 мин</t>
  </si>
  <si>
    <t>Есть 2 активных и 2 спокойных варианта</t>
  </si>
  <si>
    <t>План Б: Рисование/наклейки</t>
  </si>
  <si>
    <t>BD-010</t>
  </si>
  <si>
    <t>Программа: Подарки гостям и завершение — 10 мин</t>
  </si>
  <si>
    <t>Наборы подписаны и выданы на выходе</t>
  </si>
  <si>
    <t>План Б: Один общий стол выдачи</t>
  </si>
  <si>
    <t>BD-011</t>
  </si>
  <si>
    <t>Меню: Выбрать 2 детских блюда, 2 взрослых, овощи/фрукты</t>
  </si>
  <si>
    <t>Большая часть покупная или готовится заранее</t>
  </si>
  <si>
    <t>План Б: Заказать пиццу/кейтеринг Не делать много разных блюд</t>
  </si>
  <si>
    <t>BD-012</t>
  </si>
  <si>
    <t>Меню: Торт</t>
  </si>
  <si>
    <t>Заказ подтверждён или выбран простой рецепт</t>
  </si>
  <si>
    <t>План Б: Купить готовый торт</t>
  </si>
  <si>
    <t>BD-013</t>
  </si>
  <si>
    <t>Подарки: Список желаний Вари</t>
  </si>
  <si>
    <t>Варианты разных цен и без дублей</t>
  </si>
  <si>
    <t>План Б: Денежный вклад/сертификат</t>
  </si>
  <si>
    <t>BD-014</t>
  </si>
  <si>
    <t>Гостевые подарки: Выбрать нейтральные наборы</t>
  </si>
  <si>
    <t>Количество гостей + 2 запаса</t>
  </si>
  <si>
    <t>План Б: Книга/набор наклеек</t>
  </si>
  <si>
    <t>BD-015</t>
  </si>
  <si>
    <t>Реквизит: Собрать коробку праздника</t>
  </si>
  <si>
    <t>Всё физически лежит в одном месте</t>
  </si>
  <si>
    <t>План Б: Чек-лист на крышке</t>
  </si>
  <si>
    <t>Продажа квартиры и вывод денег</t>
  </si>
  <si>
    <t>Квартира</t>
  </si>
  <si>
    <t>Узнать как продать без посещения России</t>
  </si>
  <si>
    <t>Узнать как выписаться - в МВД</t>
  </si>
  <si>
    <t>Термин в посольство</t>
  </si>
  <si>
    <t>Текст доверенности</t>
  </si>
  <si>
    <t>Аида - объявление и показы</t>
  </si>
  <si>
    <t>Юрий - уведомить</t>
  </si>
  <si>
    <t>Узнать про способы вывода</t>
  </si>
  <si>
    <t>Обучение Гали</t>
  </si>
  <si>
    <t>G-001</t>
  </si>
  <si>
    <t>Определить текущий уровень немецкого</t>
  </si>
  <si>
    <t>Пройден диагностический тест B1, понятны слабые разделы</t>
  </si>
  <si>
    <t>Сделать один полный диагностический вариант</t>
  </si>
  <si>
    <t>G-002</t>
  </si>
  <si>
    <t>Выбрать экзамен B1 и учебный маршрут</t>
  </si>
  <si>
    <t>Выбран Goethe/telc, курс или самостоятельный план, ориентир по дате экзамена</t>
  </si>
  <si>
    <t>Сравнить формат экзаменов и доступные даты</t>
  </si>
  <si>
    <t>G-003</t>
  </si>
  <si>
    <t>Поддерживать немецкий до родов</t>
  </si>
  <si>
    <t>4 коротких занятия в неделю по 20–30 минут без перегрузки</t>
  </si>
  <si>
    <t>Работать только над двумя самыми слабыми навыками</t>
  </si>
  <si>
    <t>2 ч/нед.</t>
  </si>
  <si>
    <t>G-004</t>
  </si>
  <si>
    <t>Вернуться к системной подготовке B1</t>
  </si>
  <si>
    <t>Стабильный график 4–5 часов в неделю</t>
  </si>
  <si>
    <t>Начать после стабилизации быта и сна ребёнка</t>
  </si>
  <si>
    <t>4–5 ч/нед.</t>
  </si>
  <si>
    <t>G-005</t>
  </si>
  <si>
    <t>Сдать пробные тесты B1</t>
  </si>
  <si>
    <t>Два полных пробника подряд с проходным результатом</t>
  </si>
  <si>
    <t>Вести журнал ошибок и повторять типовые формулировки</t>
  </si>
  <si>
    <t>6–8 ч</t>
  </si>
  <si>
    <t>G-006</t>
  </si>
  <si>
    <t>Записаться и сдать B1</t>
  </si>
  <si>
    <t>Экзамен сдан или назначена повторная попытка по результатам</t>
  </si>
  <si>
    <t>Выбрать дату с запасом на подготовку</t>
  </si>
  <si>
    <t>1 день</t>
  </si>
  <si>
    <t>G-007</t>
  </si>
  <si>
    <t>Выбрать автошколу и собрать документы</t>
  </si>
  <si>
    <t>Выбрана Fahrschule, понятны стоимость, документы и график</t>
  </si>
  <si>
    <t>Сравнить 3 школы поблизости и вечерние/онлайн занятия</t>
  </si>
  <si>
    <t>G-008</t>
  </si>
  <si>
    <t>Пройти теорию и сдать теоретический экзамен</t>
  </si>
  <si>
    <t>Теория завершена, внутренние тесты стабильны, экзамен сдан</t>
  </si>
  <si>
    <t>Не совмещать пиковую подготовку с экзаменом B1</t>
  </si>
  <si>
    <t>3–5 ч/нед.</t>
  </si>
  <si>
    <t>G-009</t>
  </si>
  <si>
    <t>Пройти практику и сдать на права</t>
  </si>
  <si>
    <t>Практические занятия завершены, экзамен сдан</t>
  </si>
  <si>
    <t>Планировать занятия с учётом ухода за ребёнком</t>
  </si>
  <si>
    <t>1–2 занятия/нед.</t>
  </si>
  <si>
    <t>G-010</t>
  </si>
  <si>
    <t>Определить целевую профессию и формат переподготовки</t>
  </si>
  <si>
    <t>Выбраны 1–2 реальные позиции и список недостающих навыков</t>
  </si>
  <si>
    <t>Начать с вакансий, а не с выбора случайного курса</t>
  </si>
  <si>
    <t>4–6 ч</t>
  </si>
  <si>
    <t>G-011</t>
  </si>
  <si>
    <t>Выбрать и пройти переподготовку</t>
  </si>
  <si>
    <t>Есть завершённый курс/сертификат и практический проект для резюме</t>
  </si>
  <si>
    <t>Выбирать курс с проектом, обратной связью и понятным выходом на вакансии</t>
  </si>
  <si>
    <t>5–8 ч/нед.</t>
  </si>
  <si>
    <t>G-012</t>
  </si>
  <si>
    <t>Подготовиться к поиску работы</t>
  </si>
  <si>
    <t>Резюме, LinkedIn/Xing, сопроводительное письмо и 2–3 учебных кейса готовы</t>
  </si>
  <si>
    <t>Собрать пакет документов до начала откликов</t>
  </si>
  <si>
    <t>10–15 ч</t>
  </si>
  <si>
    <t>EDU-001</t>
  </si>
  <si>
    <t>Этап обучения</t>
  </si>
  <si>
    <t>1. До родов</t>
  </si>
  <si>
    <t>Диагностика B1 и выбор экзамена. Контрольный результат: Понятны слабые темы и формат экзамена</t>
  </si>
  <si>
    <t>Диагностика B1 и выбор экзамена</t>
  </si>
  <si>
    <t>2–3 ч/нед.</t>
  </si>
  <si>
    <t>Период: 27.07–23.08.2026. Нагрузка: 2–3 ч/нед.. Не делать параллельно: Не начинать интенсивную автошколу. Поддерживающий режим</t>
  </si>
  <si>
    <t>EDU-002</t>
  </si>
  <si>
    <t>2. Первые недели после родов</t>
  </si>
  <si>
    <t>Сохранить контакт с языком. Контрольный результат: Короткое чтение/аудио без обязательного графика</t>
  </si>
  <si>
    <t>Сохранить контакт с языком</t>
  </si>
  <si>
    <t>0–2 ч/нед.</t>
  </si>
  <si>
    <t>Период: Сентябрь–октябрь 2026. Нагрузка: 0–2 ч/нед.. Не делать параллельно: Не ставить жёсткие экзаменационные сроки. Сон и восстановление важнее</t>
  </si>
  <si>
    <t>EDU-003</t>
  </si>
  <si>
    <t>3. Подготовка B1</t>
  </si>
  <si>
    <t>Системная подготовка и пробники. Контрольный результат: Два пробника подряд с проходным баллом</t>
  </si>
  <si>
    <t>Системная подготовка и пробники</t>
  </si>
  <si>
    <t>Период: Ноябрь 2026–февраль 2027. Нагрузка: 4–5 ч/нед.. Не делать параллельно: Не входить одновременно в пик теории вождения.</t>
  </si>
  <si>
    <t>EDU-004</t>
  </si>
  <si>
    <t>4. Экзамен B1</t>
  </si>
  <si>
    <t>Сдать экзамен. Контрольный результат: Сертификат B1</t>
  </si>
  <si>
    <t>Сдать экзамен</t>
  </si>
  <si>
    <t>По плану экзамена</t>
  </si>
  <si>
    <t>Период: Февраль–март 2027. Нагрузка: По плану экзамена. Не делать параллельно: Не брать старт сложного курса переподготовки.</t>
  </si>
  <si>
    <t>EDU-005</t>
  </si>
  <si>
    <t>5. Права — теория</t>
  </si>
  <si>
    <t>Выбрать школу и сдать теорию. Контрольный результат: Сдан теоретический экзамен</t>
  </si>
  <si>
    <t>Выбрать школу и сдать теорию</t>
  </si>
  <si>
    <t>Период: Январь–апрель 2027. Нагрузка: 3–5 ч/нед.. Не делать параллельно: Не форсировать до стабилизации B1. Можно начать документы раньше</t>
  </si>
  <si>
    <t>EDU-006</t>
  </si>
  <si>
    <t>6. Права — практика</t>
  </si>
  <si>
    <t>Практика и экзамен. Контрольный результат: Получены права</t>
  </si>
  <si>
    <t>Практика и экзамен</t>
  </si>
  <si>
    <t>Период: Апрель–август 2027. Нагрузка: 1–2 занятия/нед.. Не делать параллельно: Не ставить занятия без устойчивого ухода за ребёнком.</t>
  </si>
  <si>
    <t>EDU-007</t>
  </si>
  <si>
    <t>7. Переподготовка</t>
  </si>
  <si>
    <t>Получить востребованный навык и проект. Контрольный результат: Курс + портфолио/кейс</t>
  </si>
  <si>
    <t>Получить востребованный навык и проект</t>
  </si>
  <si>
    <t>Период: Март–сентябрь 2027. Нагрузка: 5–8 ч/нед.. Не делать параллельно: Не выбирать курс без анализа вакансий.</t>
  </si>
  <si>
    <t>EDU-008</t>
  </si>
  <si>
    <t>8. Поиск работы</t>
  </si>
  <si>
    <t>Подготовить и начать отклики. Контрольный результат: CV, профили, кейсы, первые отклики</t>
  </si>
  <si>
    <t>Подготовить и начать отклики</t>
  </si>
  <si>
    <t>Период: Август–октябрь 2027. Нагрузка: 3–5 ч/нед.. Не делать параллельно: Не начинать без понятной целевой роли.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</si>
</sst>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.mm\.yyyy"/>
    <numFmt numFmtId="165" formatCode="\€#,##0.00"/>
    <numFmt numFmtId="166" formatCode="dd.mm.yyyy"/>
  </numFmts>
  <fonts count="10">
    <font>
      <sz val="11.0"/>
      <color rgb="FF000000"/>
      <name val="Carlito"/>
      <scheme val="minor"/>
    </font>
    <font>
      <b/>
      <sz val="16.0"/>
      <color rgb="FFFFFFFF"/>
      <name val="Proxima Nova"/>
    </font>
    <font/>
    <font>
      <sz val="11.0"/>
      <color theme="1"/>
      <name val="Proxima Nova"/>
    </font>
    <font>
      <b/>
      <sz val="11.0"/>
      <color rgb="FF1F1F1F"/>
      <name val="Proxima Nova"/>
    </font>
    <font>
      <sz val="11.0"/>
      <color theme="1"/>
      <name val="Carlito"/>
    </font>
    <font>
      <b/>
      <sz val="12.0"/>
      <color rgb="FFFFFFFF"/>
      <name val="Proxima Nova"/>
    </font>
    <font>
      <sz val="12.0"/>
      <color theme="1"/>
      <name val="Proxima Nova"/>
    </font>
    <font>
      <b/>
      <sz val="12.0"/>
      <color theme="0"/>
      <name val="Proxima Nova"/>
    </font>
    <font>
      <sz val="11.0"/>
      <color rgb="FF0563C1"/>
      <name val="Proxima Nova"/>
    </font>
  </fonts>
  <fills count="22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D9EAF7"/>
        <bgColor rgb="FFD9EAF7"/>
      </patternFill>
    </fill>
    <fill>
      <patternFill patternType="solid">
        <fgColor rgb="FFF3F6FA"/>
        <bgColor rgb="FFF3F6FA"/>
      </patternFill>
    </fill>
    <fill>
      <patternFill patternType="solid">
        <fgColor theme="4"/>
        <bgColor theme="4"/>
      </patternFill>
    </fill>
    <fill>
      <patternFill patternType="solid">
        <fgColor rgb="FF215E99"/>
        <bgColor rgb="FF215E99"/>
      </patternFill>
    </fill>
    <fill>
      <patternFill patternType="solid">
        <fgColor rgb="FF3C78D8"/>
        <bgColor rgb="FF3C78D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6D9EEB"/>
        <bgColor rgb="FF6D9EEB"/>
      </patternFill>
    </fill>
    <fill>
      <patternFill patternType="solid">
        <fgColor rgb="FFC1E4F5"/>
        <bgColor rgb="FFC1E4F5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center" vertical="center"/>
    </xf>
    <xf borderId="4" fillId="5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4" fillId="6" fontId="7" numFmtId="0" xfId="0" applyBorder="1" applyFill="1" applyFont="1"/>
    <xf borderId="4" fillId="7" fontId="6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7" fontId="7" numFmtId="0" xfId="0" applyBorder="1" applyFont="1"/>
    <xf borderId="4" fillId="8" fontId="3" numFmtId="0" xfId="0" applyAlignment="1" applyBorder="1" applyFill="1" applyFont="1">
      <alignment shrinkToFit="0" vertical="top" wrapText="1"/>
    </xf>
    <xf borderId="4" fillId="8" fontId="3" numFmtId="164" xfId="0" applyAlignment="1" applyBorder="1" applyFont="1" applyNumberFormat="1">
      <alignment shrinkToFit="0" vertical="top" wrapText="1"/>
    </xf>
    <xf borderId="4" fillId="8" fontId="9" numFmtId="0" xfId="0" applyAlignment="1" applyBorder="1" applyFont="1">
      <alignment shrinkToFit="0" vertical="top" wrapText="1"/>
    </xf>
    <xf borderId="4" fillId="8" fontId="3" numFmtId="165" xfId="0" applyAlignment="1" applyBorder="1" applyFont="1" applyNumberFormat="1">
      <alignment shrinkToFit="0" vertical="top" wrapText="1"/>
    </xf>
    <xf borderId="4" fillId="8" fontId="3" numFmtId="0" xfId="0" applyBorder="1" applyFont="1"/>
    <xf borderId="4" fillId="9" fontId="3" numFmtId="0" xfId="0" applyAlignment="1" applyBorder="1" applyFill="1" applyFont="1">
      <alignment shrinkToFit="0" vertical="top" wrapText="1"/>
    </xf>
    <xf borderId="4" fillId="9" fontId="3" numFmtId="164" xfId="0" applyAlignment="1" applyBorder="1" applyFont="1" applyNumberFormat="1">
      <alignment shrinkToFit="0" vertical="top" wrapText="1"/>
    </xf>
    <xf borderId="4" fillId="9" fontId="9" numFmtId="0" xfId="0" applyAlignment="1" applyBorder="1" applyFont="1">
      <alignment shrinkToFit="0" vertical="top" wrapText="1"/>
    </xf>
    <xf borderId="4" fillId="9" fontId="3" numFmtId="165" xfId="0" applyAlignment="1" applyBorder="1" applyFont="1" applyNumberFormat="1">
      <alignment shrinkToFit="0" vertical="top" wrapText="1"/>
    </xf>
    <xf borderId="4" fillId="9" fontId="3" numFmtId="0" xfId="0" applyBorder="1" applyFont="1"/>
    <xf borderId="1" fillId="7" fontId="6" numFmtId="0" xfId="0" applyAlignment="1" applyBorder="1" applyFont="1">
      <alignment horizontal="center" readingOrder="0" shrinkToFit="0" vertical="center" wrapText="1"/>
    </xf>
    <xf borderId="3" fillId="10" fontId="2" numFmtId="0" xfId="0" applyBorder="1" applyFill="1" applyFont="1"/>
    <xf borderId="4" fillId="7" fontId="6" numFmtId="166" xfId="0" applyAlignment="1" applyBorder="1" applyFont="1" applyNumberFormat="1">
      <alignment horizontal="center" readingOrder="0" shrinkToFit="0" vertical="center" wrapText="1"/>
    </xf>
    <xf borderId="4" fillId="11" fontId="3" numFmtId="0" xfId="0" applyAlignment="1" applyBorder="1" applyFill="1" applyFont="1">
      <alignment shrinkToFit="0" vertical="top" wrapText="1"/>
    </xf>
    <xf borderId="4" fillId="11" fontId="3" numFmtId="0" xfId="0" applyAlignment="1" applyBorder="1" applyFont="1">
      <alignment readingOrder="0" shrinkToFit="0" vertical="top" wrapText="1"/>
    </xf>
    <xf borderId="4" fillId="12" fontId="3" numFmtId="164" xfId="0" applyAlignment="1" applyBorder="1" applyFill="1" applyFont="1" applyNumberFormat="1">
      <alignment shrinkToFit="0" vertical="top" wrapText="1"/>
    </xf>
    <xf borderId="4" fillId="11" fontId="3" numFmtId="164" xfId="0" applyAlignment="1" applyBorder="1" applyFont="1" applyNumberFormat="1">
      <alignment shrinkToFit="0" vertical="top" wrapText="1"/>
    </xf>
    <xf borderId="4" fillId="13" fontId="3" numFmtId="164" xfId="0" applyAlignment="1" applyBorder="1" applyFill="1" applyFont="1" applyNumberFormat="1">
      <alignment shrinkToFit="0" vertical="top" wrapText="1"/>
    </xf>
    <xf borderId="4" fillId="11" fontId="9" numFmtId="0" xfId="0" applyAlignment="1" applyBorder="1" applyFont="1">
      <alignment shrinkToFit="0" vertical="top" wrapText="1"/>
    </xf>
    <xf borderId="4" fillId="11" fontId="3" numFmtId="165" xfId="0" applyAlignment="1" applyBorder="1" applyFont="1" applyNumberFormat="1">
      <alignment shrinkToFit="0" vertical="top" wrapText="1"/>
    </xf>
    <xf borderId="4" fillId="11" fontId="3" numFmtId="0" xfId="0" applyBorder="1" applyFont="1"/>
    <xf borderId="4" fillId="10" fontId="3" numFmtId="0" xfId="0" applyAlignment="1" applyBorder="1" applyFont="1">
      <alignment shrinkToFit="0" vertical="top" wrapText="1"/>
    </xf>
    <xf borderId="4" fillId="10" fontId="3" numFmtId="164" xfId="0" applyAlignment="1" applyBorder="1" applyFont="1" applyNumberFormat="1">
      <alignment shrinkToFit="0" vertical="top" wrapText="1"/>
    </xf>
    <xf borderId="4" fillId="10" fontId="9" numFmtId="0" xfId="0" applyAlignment="1" applyBorder="1" applyFont="1">
      <alignment shrinkToFit="0" vertical="top" wrapText="1"/>
    </xf>
    <xf borderId="4" fillId="10" fontId="3" numFmtId="165" xfId="0" applyAlignment="1" applyBorder="1" applyFont="1" applyNumberFormat="1">
      <alignment shrinkToFit="0" vertical="top" wrapText="1"/>
    </xf>
    <xf borderId="4" fillId="10" fontId="3" numFmtId="0" xfId="0" applyBorder="1" applyFont="1"/>
    <xf borderId="4" fillId="14" fontId="3" numFmtId="0" xfId="0" applyAlignment="1" applyBorder="1" applyFill="1" applyFont="1">
      <alignment shrinkToFit="0" vertical="top" wrapText="1"/>
    </xf>
    <xf borderId="4" fillId="14" fontId="3" numFmtId="164" xfId="0" applyAlignment="1" applyBorder="1" applyFont="1" applyNumberFormat="1">
      <alignment shrinkToFit="0" vertical="top" wrapText="1"/>
    </xf>
    <xf borderId="4" fillId="14" fontId="9" numFmtId="0" xfId="0" applyAlignment="1" applyBorder="1" applyFont="1">
      <alignment shrinkToFit="0" vertical="top" wrapText="1"/>
    </xf>
    <xf borderId="4" fillId="14" fontId="3" numFmtId="165" xfId="0" applyAlignment="1" applyBorder="1" applyFont="1" applyNumberFormat="1">
      <alignment shrinkToFit="0" vertical="top" wrapText="1"/>
    </xf>
    <xf borderId="4" fillId="14" fontId="3" numFmtId="0" xfId="0" applyBorder="1" applyFont="1"/>
    <xf borderId="1" fillId="7" fontId="8" numFmtId="0" xfId="0" applyAlignment="1" applyBorder="1" applyFont="1">
      <alignment horizontal="center" shrinkToFit="0" vertical="center" wrapText="1"/>
    </xf>
    <xf borderId="2" fillId="10" fontId="2" numFmtId="0" xfId="0" applyBorder="1" applyFont="1"/>
    <xf borderId="1" fillId="15" fontId="6" numFmtId="0" xfId="0" applyAlignment="1" applyBorder="1" applyFill="1" applyFont="1">
      <alignment horizontal="center" readingOrder="0" shrinkToFit="0" vertical="center" wrapText="1"/>
    </xf>
    <xf borderId="2" fillId="16" fontId="2" numFmtId="0" xfId="0" applyBorder="1" applyFill="1" applyFont="1"/>
    <xf borderId="3" fillId="16" fontId="2" numFmtId="0" xfId="0" applyBorder="1" applyFont="1"/>
    <xf borderId="4" fillId="15" fontId="6" numFmtId="0" xfId="0" applyAlignment="1" applyBorder="1" applyFont="1">
      <alignment horizontal="center" shrinkToFit="0" vertical="center" wrapText="1"/>
    </xf>
    <xf borderId="4" fillId="15" fontId="6" numFmtId="166" xfId="0" applyAlignment="1" applyBorder="1" applyFont="1" applyNumberFormat="1">
      <alignment horizontal="center" readingOrder="0" shrinkToFit="0" vertical="center" wrapText="1"/>
    </xf>
    <xf borderId="4" fillId="15" fontId="7" numFmtId="0" xfId="0" applyBorder="1" applyFont="1"/>
    <xf borderId="4" fillId="16" fontId="3" numFmtId="0" xfId="0" applyAlignment="1" applyBorder="1" applyFont="1">
      <alignment shrinkToFit="0" vertical="top" wrapText="1"/>
    </xf>
    <xf borderId="4" fillId="16" fontId="3" numFmtId="164" xfId="0" applyAlignment="1" applyBorder="1" applyFont="1" applyNumberFormat="1">
      <alignment shrinkToFit="0" vertical="top" wrapText="1"/>
    </xf>
    <xf borderId="4" fillId="16" fontId="9" numFmtId="0" xfId="0" applyAlignment="1" applyBorder="1" applyFont="1">
      <alignment shrinkToFit="0" vertical="top" wrapText="1"/>
    </xf>
    <xf borderId="4" fillId="16" fontId="3" numFmtId="165" xfId="0" applyAlignment="1" applyBorder="1" applyFont="1" applyNumberFormat="1">
      <alignment shrinkToFit="0" vertical="top" wrapText="1"/>
    </xf>
    <xf borderId="4" fillId="17" fontId="3" numFmtId="0" xfId="0" applyBorder="1" applyFill="1" applyFont="1"/>
    <xf borderId="4" fillId="18" fontId="3" numFmtId="0" xfId="0" applyBorder="1" applyFill="1" applyFont="1"/>
    <xf borderId="4" fillId="14" fontId="3" numFmtId="0" xfId="0" applyAlignment="1" applyBorder="1" applyFont="1">
      <alignment readingOrder="0" shrinkToFit="0" vertical="top" wrapText="1"/>
    </xf>
    <xf borderId="4" fillId="19" fontId="3" numFmtId="0" xfId="0" applyAlignment="1" applyBorder="1" applyFill="1" applyFont="1">
      <alignment shrinkToFit="0" vertical="top" wrapText="1"/>
    </xf>
    <xf borderId="4" fillId="19" fontId="3" numFmtId="0" xfId="0" applyAlignment="1" applyBorder="1" applyFont="1">
      <alignment readingOrder="0" shrinkToFit="0" vertical="top" wrapText="1"/>
    </xf>
    <xf borderId="4" fillId="19" fontId="3" numFmtId="164" xfId="0" applyAlignment="1" applyBorder="1" applyFont="1" applyNumberFormat="1">
      <alignment shrinkToFit="0" vertical="top" wrapText="1"/>
    </xf>
    <xf borderId="4" fillId="19" fontId="9" numFmtId="0" xfId="0" applyAlignment="1" applyBorder="1" applyFont="1">
      <alignment shrinkToFit="0" vertical="top" wrapText="1"/>
    </xf>
    <xf borderId="4" fillId="19" fontId="3" numFmtId="165" xfId="0" applyAlignment="1" applyBorder="1" applyFont="1" applyNumberFormat="1">
      <alignment shrinkToFit="0" vertical="top" wrapText="1"/>
    </xf>
    <xf borderId="4" fillId="19" fontId="3" numFmtId="0" xfId="0" applyBorder="1" applyFont="1"/>
    <xf borderId="4" fillId="20" fontId="3" numFmtId="0" xfId="0" applyAlignment="1" applyBorder="1" applyFill="1" applyFont="1">
      <alignment shrinkToFit="0" vertical="top" wrapText="1"/>
    </xf>
    <xf borderId="4" fillId="20" fontId="3" numFmtId="164" xfId="0" applyAlignment="1" applyBorder="1" applyFont="1" applyNumberFormat="1">
      <alignment shrinkToFit="0" vertical="top" wrapText="1"/>
    </xf>
    <xf borderId="4" fillId="20" fontId="9" numFmtId="0" xfId="0" applyAlignment="1" applyBorder="1" applyFont="1">
      <alignment shrinkToFit="0" vertical="top" wrapText="1"/>
    </xf>
    <xf borderId="4" fillId="20" fontId="3" numFmtId="165" xfId="0" applyAlignment="1" applyBorder="1" applyFont="1" applyNumberFormat="1">
      <alignment shrinkToFit="0" vertical="top" wrapText="1"/>
    </xf>
    <xf borderId="4" fillId="20" fontId="3" numFmtId="0" xfId="0" applyBorder="1" applyFont="1"/>
    <xf borderId="4" fillId="9" fontId="3" numFmtId="0" xfId="0" applyAlignment="1" applyBorder="1" applyFont="1">
      <alignment readingOrder="0" shrinkToFit="0" vertical="top" wrapText="1"/>
    </xf>
    <xf borderId="4" fillId="21" fontId="3" numFmtId="164" xfId="0" applyAlignment="1" applyBorder="1" applyFill="1" applyFont="1" applyNumberFormat="1">
      <alignment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9C5700"/>
      </font>
      <fill>
        <patternFill patternType="solid">
          <fgColor rgb="FFFCE4D6"/>
          <bgColor rgb="FFFCE4D6"/>
        </patternFill>
      </fill>
      <border/>
    </dxf>
    <dxf>
      <font>
        <b/>
        <color rgb="FFC00000"/>
      </font>
      <fill>
        <patternFill patternType="solid">
          <fgColor rgb="FFF8CBAD"/>
          <bgColor rgb="FFF8CBAD"/>
        </patternFill>
      </fill>
      <border/>
    </dxf>
    <dxf>
      <font>
        <b/>
        <color rgb="FF375623"/>
      </font>
      <fill>
        <patternFill patternType="solid">
          <fgColor rgb="FFC6E0B4"/>
          <bgColor rgb="FFC6E0B4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1F4E78"/>
      </font>
      <fill>
        <patternFill patternType="solid">
          <fgColor rgb="FFDDEBF7"/>
          <bgColor rgb="FFDDEB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7.38"/>
    <col customWidth="1" min="2" max="2" width="17.75"/>
    <col customWidth="1" min="3" max="3" width="13.38"/>
    <col customWidth="1" min="4" max="4" width="36.0"/>
    <col customWidth="1" min="5" max="5" width="42.0"/>
    <col customWidth="1" min="6" max="6" width="16.75"/>
    <col customWidth="1" min="7" max="7" width="18.0"/>
    <col customWidth="1" min="8" max="8" width="14.0"/>
    <col customWidth="1" min="9" max="9" width="13.5"/>
    <col customWidth="1" min="10" max="11" width="12.0"/>
    <col customWidth="1" min="12" max="12" width="13.25"/>
    <col customWidth="1" min="13" max="17" width="12.0"/>
    <col customWidth="1" min="18" max="18" width="15.0"/>
    <col customWidth="1" min="19" max="19" width="34.0"/>
    <col customWidth="1" min="20" max="20" width="10.0"/>
    <col customWidth="1" min="21" max="21" width="18.0"/>
    <col customWidth="1" min="22" max="22" width="23.13"/>
    <col customWidth="1" min="23" max="23" width="21.0"/>
    <col customWidth="1" min="24" max="24" width="17.88"/>
    <col customWidth="1" min="25" max="26" width="13.0"/>
    <col customWidth="1" min="27" max="27" width="38.0"/>
    <col customWidth="1" min="28" max="34" width="8.88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4"/>
      <c r="AD1" s="4"/>
      <c r="AE1" s="4"/>
      <c r="AF1" s="4"/>
      <c r="AG1" s="4"/>
      <c r="AH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5" t="s">
        <v>1</v>
      </c>
      <c r="B3" s="3"/>
      <c r="C3" s="5" t="s">
        <v>2</v>
      </c>
      <c r="D3" s="3"/>
      <c r="E3" s="5" t="s">
        <v>3</v>
      </c>
      <c r="F3" s="3"/>
      <c r="G3" s="5" t="s">
        <v>4</v>
      </c>
      <c r="H3" s="3"/>
      <c r="I3" s="6"/>
      <c r="J3" s="6"/>
      <c r="K3" s="6"/>
      <c r="L3" s="6"/>
      <c r="M3" s="6"/>
      <c r="N3" s="6"/>
      <c r="O3" s="6"/>
      <c r="P3" s="6"/>
      <c r="Q3" s="5" t="s">
        <v>5</v>
      </c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>
      <c r="A4" s="7">
        <f>COUNTA(A8:A162)</f>
        <v>112</v>
      </c>
      <c r="B4" s="3"/>
      <c r="C4" s="7">
        <f>COUNTIF(R8:R162,"Готово")</f>
        <v>0</v>
      </c>
      <c r="D4" s="3"/>
      <c r="E4" s="7">
        <f>COUNTIF(R8:R162,"В работе")</f>
        <v>1</v>
      </c>
      <c r="F4" s="3"/>
      <c r="G4" s="7">
        <f>COUNTIFS(Q8:Q162,"&lt;"&amp;TODAY(),R8:R162,"&lt;&gt;Готово",R8:R162,"&lt;&gt;Отменено")</f>
        <v>0</v>
      </c>
      <c r="H4" s="3"/>
      <c r="I4" s="8"/>
      <c r="J4" s="8"/>
      <c r="K4" s="8"/>
      <c r="L4" s="8"/>
      <c r="M4" s="8"/>
      <c r="N4" s="8"/>
      <c r="O4" s="8"/>
      <c r="P4" s="8"/>
      <c r="Q4" s="7">
        <f>COUNTIFS(F8:F162,"Критический",R8:R162,"&lt;&gt;Готово",R8:R162,"&lt;&gt;Отменено")</f>
        <v>39</v>
      </c>
      <c r="R4" s="3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ht="55.5" customHeight="1">
      <c r="A7" s="9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10" t="s">
        <v>13</v>
      </c>
      <c r="I7" s="10" t="s">
        <v>14</v>
      </c>
      <c r="J7" s="10" t="s">
        <v>15</v>
      </c>
      <c r="K7" s="10" t="s">
        <v>16</v>
      </c>
      <c r="L7" s="10" t="s">
        <v>17</v>
      </c>
      <c r="M7" s="10" t="s">
        <v>18</v>
      </c>
      <c r="N7" s="10" t="s">
        <v>19</v>
      </c>
      <c r="O7" s="10" t="s">
        <v>20</v>
      </c>
      <c r="P7" s="10" t="s">
        <v>21</v>
      </c>
      <c r="Q7" s="9" t="s">
        <v>22</v>
      </c>
      <c r="R7" s="9" t="s">
        <v>23</v>
      </c>
      <c r="S7" s="9" t="s">
        <v>24</v>
      </c>
      <c r="T7" s="9" t="s">
        <v>25</v>
      </c>
      <c r="U7" s="9" t="s">
        <v>26</v>
      </c>
      <c r="V7" s="9" t="s">
        <v>27</v>
      </c>
      <c r="W7" s="9" t="s">
        <v>28</v>
      </c>
      <c r="X7" s="9" t="s">
        <v>29</v>
      </c>
      <c r="Y7" s="9" t="s">
        <v>30</v>
      </c>
      <c r="Z7" s="9" t="s">
        <v>31</v>
      </c>
      <c r="AA7" s="9" t="s">
        <v>32</v>
      </c>
      <c r="AB7" s="11"/>
      <c r="AC7" s="11"/>
      <c r="AD7" s="11"/>
      <c r="AE7" s="11"/>
      <c r="AF7" s="11"/>
      <c r="AG7" s="11"/>
      <c r="AH7" s="11"/>
    </row>
    <row r="8" ht="30.0" customHeight="1">
      <c r="A8" s="12"/>
      <c r="B8" s="13" t="s">
        <v>33</v>
      </c>
      <c r="C8" s="14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4"/>
      <c r="AC8" s="14"/>
      <c r="AD8" s="14"/>
      <c r="AE8" s="14"/>
      <c r="AF8" s="14"/>
      <c r="AG8" s="14"/>
      <c r="AH8" s="14"/>
    </row>
    <row r="9" ht="49.5" customHeight="1">
      <c r="A9" s="15" t="s">
        <v>34</v>
      </c>
      <c r="B9" s="15" t="s">
        <v>35</v>
      </c>
      <c r="C9" s="15"/>
      <c r="D9" s="15" t="s">
        <v>36</v>
      </c>
      <c r="E9" s="15" t="s">
        <v>37</v>
      </c>
      <c r="F9" s="15" t="s">
        <v>38</v>
      </c>
      <c r="G9" s="15" t="s">
        <v>39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5"/>
      <c r="S9" s="15" t="s">
        <v>40</v>
      </c>
      <c r="T9" s="15" t="s">
        <v>41</v>
      </c>
      <c r="U9" s="15" t="s">
        <v>42</v>
      </c>
      <c r="V9" s="17"/>
      <c r="W9" s="17"/>
      <c r="X9" s="15"/>
      <c r="Y9" s="18"/>
      <c r="Z9" s="18"/>
      <c r="AA9" s="15"/>
      <c r="AB9" s="19"/>
      <c r="AC9" s="19"/>
      <c r="AD9" s="19"/>
      <c r="AE9" s="19"/>
      <c r="AF9" s="19"/>
      <c r="AG9" s="19"/>
      <c r="AH9" s="19"/>
    </row>
    <row r="10" ht="39.75" customHeight="1">
      <c r="A10" s="15" t="s">
        <v>43</v>
      </c>
      <c r="B10" s="15" t="s">
        <v>35</v>
      </c>
      <c r="C10" s="15"/>
      <c r="D10" s="15" t="s">
        <v>44</v>
      </c>
      <c r="E10" s="15" t="s">
        <v>45</v>
      </c>
      <c r="F10" s="15" t="s">
        <v>38</v>
      </c>
      <c r="G10" s="15" t="s">
        <v>39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5"/>
      <c r="S10" s="15" t="s">
        <v>46</v>
      </c>
      <c r="T10" s="15" t="s">
        <v>41</v>
      </c>
      <c r="U10" s="15" t="s">
        <v>47</v>
      </c>
      <c r="V10" s="17"/>
      <c r="W10" s="17"/>
      <c r="X10" s="15"/>
      <c r="Y10" s="18"/>
      <c r="Z10" s="18"/>
      <c r="AA10" s="15"/>
      <c r="AB10" s="19"/>
      <c r="AC10" s="19"/>
      <c r="AD10" s="19"/>
      <c r="AE10" s="19"/>
      <c r="AF10" s="19"/>
      <c r="AG10" s="19"/>
      <c r="AH10" s="19"/>
    </row>
    <row r="11" ht="39.75" customHeight="1">
      <c r="A11" s="15" t="s">
        <v>48</v>
      </c>
      <c r="B11" s="15" t="s">
        <v>35</v>
      </c>
      <c r="C11" s="15"/>
      <c r="D11" s="15" t="s">
        <v>49</v>
      </c>
      <c r="E11" s="15" t="s">
        <v>50</v>
      </c>
      <c r="F11" s="15" t="s">
        <v>51</v>
      </c>
      <c r="G11" s="15" t="s">
        <v>39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5"/>
      <c r="S11" s="15" t="s">
        <v>52</v>
      </c>
      <c r="T11" s="15" t="s">
        <v>53</v>
      </c>
      <c r="U11" s="15" t="s">
        <v>54</v>
      </c>
      <c r="V11" s="17"/>
      <c r="W11" s="17"/>
      <c r="X11" s="15"/>
      <c r="Y11" s="18"/>
      <c r="Z11" s="18"/>
      <c r="AA11" s="15"/>
      <c r="AB11" s="19"/>
      <c r="AC11" s="19"/>
      <c r="AD11" s="19"/>
      <c r="AE11" s="19"/>
      <c r="AF11" s="19"/>
      <c r="AG11" s="19"/>
      <c r="AH11" s="19"/>
    </row>
    <row r="12" ht="16.5" customHeight="1">
      <c r="A12" s="20"/>
      <c r="B12" s="20"/>
      <c r="C12" s="20"/>
      <c r="D12" s="20"/>
      <c r="E12" s="20"/>
      <c r="F12" s="20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0"/>
      <c r="S12" s="20"/>
      <c r="T12" s="20"/>
      <c r="U12" s="20"/>
      <c r="V12" s="22"/>
      <c r="W12" s="22"/>
      <c r="X12" s="20"/>
      <c r="Y12" s="23"/>
      <c r="Z12" s="23"/>
      <c r="AA12" s="20"/>
      <c r="AB12" s="24"/>
      <c r="AC12" s="24"/>
      <c r="AD12" s="24"/>
      <c r="AE12" s="24"/>
      <c r="AF12" s="24"/>
      <c r="AG12" s="24"/>
      <c r="AH12" s="24"/>
    </row>
    <row r="13" ht="30.0" customHeight="1">
      <c r="A13" s="25" t="s">
        <v>55</v>
      </c>
      <c r="B13" s="26"/>
      <c r="C13" s="14"/>
      <c r="D13" s="12"/>
      <c r="E13" s="12"/>
      <c r="F13" s="12"/>
      <c r="G13" s="12"/>
      <c r="H13" s="12"/>
      <c r="I13" s="12"/>
      <c r="J13" s="12"/>
      <c r="K13" s="12"/>
      <c r="L13" s="27">
        <v>46267.0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4"/>
      <c r="AC13" s="14"/>
      <c r="AD13" s="14"/>
      <c r="AE13" s="14"/>
      <c r="AF13" s="14"/>
      <c r="AG13" s="14"/>
      <c r="AH13" s="14"/>
    </row>
    <row r="14" ht="23.25" customHeight="1">
      <c r="A14" s="28"/>
      <c r="B14" s="28"/>
      <c r="C14" s="29" t="s">
        <v>56</v>
      </c>
      <c r="D14" s="29" t="s">
        <v>57</v>
      </c>
      <c r="E14" s="28"/>
      <c r="F14" s="29" t="s">
        <v>38</v>
      </c>
      <c r="G14" s="29" t="s">
        <v>39</v>
      </c>
      <c r="H14" s="30"/>
      <c r="I14" s="30"/>
      <c r="J14" s="31"/>
      <c r="K14" s="31"/>
      <c r="L14" s="32"/>
      <c r="M14" s="31"/>
      <c r="N14" s="31"/>
      <c r="O14" s="31"/>
      <c r="P14" s="31"/>
      <c r="Q14" s="31"/>
      <c r="R14" s="28"/>
      <c r="S14" s="28"/>
      <c r="T14" s="28"/>
      <c r="U14" s="28"/>
      <c r="V14" s="33"/>
      <c r="W14" s="33"/>
      <c r="X14" s="28"/>
      <c r="Y14" s="34"/>
      <c r="Z14" s="34"/>
      <c r="AA14" s="28"/>
      <c r="AB14" s="35"/>
      <c r="AC14" s="35"/>
      <c r="AD14" s="35"/>
      <c r="AE14" s="35"/>
      <c r="AF14" s="35"/>
      <c r="AG14" s="35"/>
      <c r="AH14" s="35"/>
    </row>
    <row r="15" ht="25.5" customHeight="1">
      <c r="A15" s="28"/>
      <c r="B15" s="28"/>
      <c r="C15" s="29" t="s">
        <v>56</v>
      </c>
      <c r="D15" s="29" t="s">
        <v>58</v>
      </c>
      <c r="E15" s="28"/>
      <c r="F15" s="29" t="s">
        <v>38</v>
      </c>
      <c r="G15" s="29" t="s">
        <v>39</v>
      </c>
      <c r="H15" s="30"/>
      <c r="I15" s="30"/>
      <c r="J15" s="31"/>
      <c r="K15" s="31"/>
      <c r="L15" s="32"/>
      <c r="M15" s="31"/>
      <c r="N15" s="31"/>
      <c r="O15" s="31"/>
      <c r="P15" s="31"/>
      <c r="Q15" s="31"/>
      <c r="R15" s="28"/>
      <c r="S15" s="28"/>
      <c r="T15" s="28"/>
      <c r="U15" s="28"/>
      <c r="V15" s="33"/>
      <c r="W15" s="33"/>
      <c r="X15" s="28"/>
      <c r="Y15" s="34"/>
      <c r="Z15" s="34"/>
      <c r="AA15" s="28"/>
      <c r="AB15" s="35"/>
      <c r="AC15" s="35"/>
      <c r="AD15" s="35"/>
      <c r="AE15" s="35"/>
      <c r="AF15" s="35"/>
      <c r="AG15" s="35"/>
      <c r="AH15" s="35"/>
    </row>
    <row r="16" ht="39.75" customHeight="1">
      <c r="A16" s="15" t="s">
        <v>59</v>
      </c>
      <c r="B16" s="15" t="s">
        <v>60</v>
      </c>
      <c r="C16" s="15" t="s">
        <v>56</v>
      </c>
      <c r="D16" s="15" t="s">
        <v>61</v>
      </c>
      <c r="E16" s="15" t="s">
        <v>62</v>
      </c>
      <c r="F16" s="15" t="s">
        <v>38</v>
      </c>
      <c r="G16" s="15" t="s">
        <v>63</v>
      </c>
      <c r="H16" s="16"/>
      <c r="I16" s="16"/>
      <c r="J16" s="16"/>
      <c r="K16" s="16"/>
      <c r="L16" s="32"/>
      <c r="M16" s="16"/>
      <c r="N16" s="16"/>
      <c r="O16" s="16"/>
      <c r="P16" s="16"/>
      <c r="Q16" s="16">
        <v>46244.0</v>
      </c>
      <c r="R16" s="15" t="s">
        <v>64</v>
      </c>
      <c r="S16" s="15" t="s">
        <v>65</v>
      </c>
      <c r="T16" s="15" t="s">
        <v>41</v>
      </c>
      <c r="U16" s="15">
        <v>1.0</v>
      </c>
      <c r="V16" s="17"/>
      <c r="W16" s="17"/>
      <c r="X16" s="15"/>
      <c r="Y16" s="18"/>
      <c r="Z16" s="18"/>
      <c r="AA16" s="15" t="s">
        <v>66</v>
      </c>
      <c r="AB16" s="19"/>
      <c r="AC16" s="19"/>
      <c r="AD16" s="19"/>
      <c r="AE16" s="19"/>
      <c r="AF16" s="19"/>
      <c r="AG16" s="19"/>
      <c r="AH16" s="19"/>
    </row>
    <row r="17" ht="39.75" customHeight="1">
      <c r="A17" s="15" t="s">
        <v>67</v>
      </c>
      <c r="B17" s="15" t="s">
        <v>60</v>
      </c>
      <c r="C17" s="15" t="s">
        <v>56</v>
      </c>
      <c r="D17" s="15" t="s">
        <v>68</v>
      </c>
      <c r="E17" s="15" t="s">
        <v>69</v>
      </c>
      <c r="F17" s="15" t="s">
        <v>38</v>
      </c>
      <c r="G17" s="15" t="s">
        <v>63</v>
      </c>
      <c r="H17" s="32"/>
      <c r="I17" s="32"/>
      <c r="J17" s="32"/>
      <c r="K17" s="16"/>
      <c r="L17" s="32"/>
      <c r="M17" s="16"/>
      <c r="N17" s="16"/>
      <c r="O17" s="16"/>
      <c r="P17" s="16"/>
      <c r="Q17" s="16">
        <v>46244.0</v>
      </c>
      <c r="R17" s="15" t="s">
        <v>64</v>
      </c>
      <c r="S17" s="15" t="s">
        <v>65</v>
      </c>
      <c r="T17" s="15" t="s">
        <v>41</v>
      </c>
      <c r="U17" s="15">
        <v>1.0</v>
      </c>
      <c r="V17" s="17"/>
      <c r="W17" s="17"/>
      <c r="X17" s="15"/>
      <c r="Y17" s="18"/>
      <c r="Z17" s="18"/>
      <c r="AA17" s="15" t="s">
        <v>70</v>
      </c>
      <c r="AB17" s="19"/>
      <c r="AC17" s="19"/>
      <c r="AD17" s="19"/>
      <c r="AE17" s="19"/>
      <c r="AF17" s="19"/>
      <c r="AG17" s="19"/>
      <c r="AH17" s="19"/>
    </row>
    <row r="18" ht="39.75" customHeight="1">
      <c r="A18" s="15" t="s">
        <v>71</v>
      </c>
      <c r="B18" s="15" t="s">
        <v>60</v>
      </c>
      <c r="C18" s="15" t="s">
        <v>56</v>
      </c>
      <c r="D18" s="15" t="s">
        <v>72</v>
      </c>
      <c r="E18" s="15" t="s">
        <v>69</v>
      </c>
      <c r="F18" s="15" t="s">
        <v>38</v>
      </c>
      <c r="G18" s="15" t="s">
        <v>63</v>
      </c>
      <c r="H18" s="16"/>
      <c r="I18" s="16"/>
      <c r="J18" s="16"/>
      <c r="K18" s="16"/>
      <c r="L18" s="32"/>
      <c r="M18" s="16"/>
      <c r="N18" s="16"/>
      <c r="O18" s="16"/>
      <c r="P18" s="16"/>
      <c r="Q18" s="16">
        <v>46244.0</v>
      </c>
      <c r="R18" s="15" t="s">
        <v>64</v>
      </c>
      <c r="S18" s="15" t="s">
        <v>65</v>
      </c>
      <c r="T18" s="15" t="s">
        <v>41</v>
      </c>
      <c r="U18" s="15">
        <v>1.0</v>
      </c>
      <c r="V18" s="17"/>
      <c r="W18" s="17"/>
      <c r="X18" s="15"/>
      <c r="Y18" s="18"/>
      <c r="Z18" s="18"/>
      <c r="AA18" s="15" t="s">
        <v>73</v>
      </c>
      <c r="AB18" s="19"/>
      <c r="AC18" s="19"/>
      <c r="AD18" s="19"/>
      <c r="AE18" s="19"/>
      <c r="AF18" s="19"/>
      <c r="AG18" s="19"/>
      <c r="AH18" s="19"/>
    </row>
    <row r="19" ht="39.75" customHeight="1">
      <c r="A19" s="15" t="s">
        <v>74</v>
      </c>
      <c r="B19" s="15" t="s">
        <v>60</v>
      </c>
      <c r="C19" s="15" t="s">
        <v>75</v>
      </c>
      <c r="D19" s="15" t="s">
        <v>76</v>
      </c>
      <c r="E19" s="15" t="s">
        <v>77</v>
      </c>
      <c r="F19" s="15" t="s">
        <v>38</v>
      </c>
      <c r="G19" s="15" t="s">
        <v>78</v>
      </c>
      <c r="H19" s="16"/>
      <c r="I19" s="16"/>
      <c r="J19" s="16"/>
      <c r="K19" s="16"/>
      <c r="L19" s="32"/>
      <c r="M19" s="16"/>
      <c r="N19" s="16"/>
      <c r="O19" s="16"/>
      <c r="P19" s="16"/>
      <c r="Q19" s="16">
        <v>46244.0</v>
      </c>
      <c r="R19" s="15" t="s">
        <v>64</v>
      </c>
      <c r="S19" s="15" t="s">
        <v>79</v>
      </c>
      <c r="T19" s="15" t="s">
        <v>41</v>
      </c>
      <c r="U19" s="15">
        <v>1.0</v>
      </c>
      <c r="V19" s="17"/>
      <c r="W19" s="17"/>
      <c r="X19" s="15"/>
      <c r="Y19" s="18"/>
      <c r="Z19" s="18"/>
      <c r="AA19" s="15" t="s">
        <v>80</v>
      </c>
      <c r="AB19" s="19"/>
      <c r="AC19" s="19"/>
      <c r="AD19" s="19"/>
      <c r="AE19" s="19"/>
      <c r="AF19" s="19"/>
      <c r="AG19" s="19"/>
      <c r="AH19" s="19"/>
    </row>
    <row r="20" ht="39.75" customHeight="1">
      <c r="A20" s="15" t="s">
        <v>81</v>
      </c>
      <c r="B20" s="15" t="s">
        <v>60</v>
      </c>
      <c r="C20" s="15" t="s">
        <v>75</v>
      </c>
      <c r="D20" s="15" t="s">
        <v>82</v>
      </c>
      <c r="E20" s="15" t="s">
        <v>77</v>
      </c>
      <c r="F20" s="15" t="s">
        <v>38</v>
      </c>
      <c r="G20" s="15" t="s">
        <v>78</v>
      </c>
      <c r="H20" s="16"/>
      <c r="I20" s="16"/>
      <c r="J20" s="16"/>
      <c r="K20" s="16"/>
      <c r="L20" s="32"/>
      <c r="M20" s="16"/>
      <c r="N20" s="16"/>
      <c r="O20" s="16"/>
      <c r="P20" s="16"/>
      <c r="Q20" s="16">
        <v>46244.0</v>
      </c>
      <c r="R20" s="15" t="s">
        <v>64</v>
      </c>
      <c r="S20" s="15" t="s">
        <v>79</v>
      </c>
      <c r="T20" s="15" t="s">
        <v>41</v>
      </c>
      <c r="U20" s="15">
        <v>1.0</v>
      </c>
      <c r="V20" s="17"/>
      <c r="W20" s="17"/>
      <c r="X20" s="15"/>
      <c r="Y20" s="18"/>
      <c r="Z20" s="18"/>
      <c r="AA20" s="15" t="s">
        <v>83</v>
      </c>
      <c r="AB20" s="19"/>
      <c r="AC20" s="19"/>
      <c r="AD20" s="19"/>
      <c r="AE20" s="19"/>
      <c r="AF20" s="19"/>
      <c r="AG20" s="19"/>
      <c r="AH20" s="19"/>
    </row>
    <row r="21" ht="39.75" customHeight="1">
      <c r="A21" s="15" t="s">
        <v>84</v>
      </c>
      <c r="B21" s="15" t="s">
        <v>60</v>
      </c>
      <c r="C21" s="15" t="s">
        <v>75</v>
      </c>
      <c r="D21" s="15" t="s">
        <v>85</v>
      </c>
      <c r="E21" s="15" t="s">
        <v>62</v>
      </c>
      <c r="F21" s="15" t="s">
        <v>38</v>
      </c>
      <c r="G21" s="15" t="s">
        <v>63</v>
      </c>
      <c r="H21" s="16"/>
      <c r="I21" s="16"/>
      <c r="J21" s="16"/>
      <c r="K21" s="16"/>
      <c r="L21" s="32"/>
      <c r="M21" s="16"/>
      <c r="N21" s="16"/>
      <c r="O21" s="16"/>
      <c r="P21" s="16"/>
      <c r="Q21" s="16">
        <v>46250.0</v>
      </c>
      <c r="R21" s="15" t="s">
        <v>64</v>
      </c>
      <c r="S21" s="15" t="s">
        <v>65</v>
      </c>
      <c r="T21" s="15" t="s">
        <v>41</v>
      </c>
      <c r="U21" s="15">
        <v>2.0</v>
      </c>
      <c r="V21" s="17"/>
      <c r="W21" s="17"/>
      <c r="X21" s="15"/>
      <c r="Y21" s="18"/>
      <c r="Z21" s="18"/>
      <c r="AA21" s="15" t="s">
        <v>86</v>
      </c>
      <c r="AB21" s="19"/>
      <c r="AC21" s="19"/>
      <c r="AD21" s="19"/>
      <c r="AE21" s="19"/>
      <c r="AF21" s="19"/>
      <c r="AG21" s="19"/>
      <c r="AH21" s="19"/>
    </row>
    <row r="22" ht="39.75" customHeight="1">
      <c r="A22" s="15" t="s">
        <v>87</v>
      </c>
      <c r="B22" s="15" t="s">
        <v>60</v>
      </c>
      <c r="C22" s="15" t="s">
        <v>75</v>
      </c>
      <c r="D22" s="15" t="s">
        <v>88</v>
      </c>
      <c r="E22" s="15" t="s">
        <v>89</v>
      </c>
      <c r="F22" s="15" t="s">
        <v>38</v>
      </c>
      <c r="G22" s="15" t="s">
        <v>63</v>
      </c>
      <c r="H22" s="16"/>
      <c r="I22" s="16"/>
      <c r="J22" s="16"/>
      <c r="K22" s="16"/>
      <c r="L22" s="32"/>
      <c r="M22" s="16"/>
      <c r="N22" s="16"/>
      <c r="O22" s="16"/>
      <c r="P22" s="16"/>
      <c r="Q22" s="16">
        <v>46246.0</v>
      </c>
      <c r="R22" s="15" t="s">
        <v>64</v>
      </c>
      <c r="S22" s="15" t="s">
        <v>79</v>
      </c>
      <c r="T22" s="15" t="s">
        <v>41</v>
      </c>
      <c r="U22" s="15" t="s">
        <v>90</v>
      </c>
      <c r="V22" s="17"/>
      <c r="W22" s="17"/>
      <c r="X22" s="15"/>
      <c r="Y22" s="18"/>
      <c r="Z22" s="18"/>
      <c r="AA22" s="15" t="s">
        <v>91</v>
      </c>
      <c r="AB22" s="19"/>
      <c r="AC22" s="19"/>
      <c r="AD22" s="19"/>
      <c r="AE22" s="19"/>
      <c r="AF22" s="19"/>
      <c r="AG22" s="19"/>
      <c r="AH22" s="19"/>
    </row>
    <row r="23" ht="22.5" customHeight="1">
      <c r="A23" s="36"/>
      <c r="B23" s="36"/>
      <c r="C23" s="36"/>
      <c r="D23" s="36"/>
      <c r="E23" s="36"/>
      <c r="F23" s="36"/>
      <c r="G23" s="36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6"/>
      <c r="S23" s="36"/>
      <c r="T23" s="36"/>
      <c r="U23" s="36"/>
      <c r="V23" s="38"/>
      <c r="W23" s="38"/>
      <c r="X23" s="36"/>
      <c r="Y23" s="39"/>
      <c r="Z23" s="39"/>
      <c r="AA23" s="36"/>
      <c r="AB23" s="40"/>
      <c r="AC23" s="40"/>
      <c r="AD23" s="40"/>
      <c r="AE23" s="40"/>
      <c r="AF23" s="40"/>
      <c r="AG23" s="40"/>
      <c r="AH23" s="40"/>
    </row>
    <row r="24" ht="39.75" customHeight="1">
      <c r="A24" s="41" t="s">
        <v>92</v>
      </c>
      <c r="B24" s="41" t="s">
        <v>35</v>
      </c>
      <c r="C24" s="41" t="s">
        <v>55</v>
      </c>
      <c r="D24" s="41" t="s">
        <v>93</v>
      </c>
      <c r="E24" s="41" t="s">
        <v>94</v>
      </c>
      <c r="F24" s="41" t="s">
        <v>38</v>
      </c>
      <c r="G24" s="41" t="s">
        <v>63</v>
      </c>
      <c r="H24" s="42">
        <v>46230.0</v>
      </c>
      <c r="I24" s="42"/>
      <c r="J24" s="42"/>
      <c r="K24" s="42"/>
      <c r="L24" s="32"/>
      <c r="M24" s="42"/>
      <c r="N24" s="42"/>
      <c r="O24" s="42"/>
      <c r="P24" s="42"/>
      <c r="Q24" s="42">
        <v>46233.0</v>
      </c>
      <c r="R24" s="41" t="s">
        <v>3</v>
      </c>
      <c r="S24" s="41" t="s">
        <v>95</v>
      </c>
      <c r="T24" s="41" t="s">
        <v>41</v>
      </c>
      <c r="U24" s="41" t="s">
        <v>96</v>
      </c>
      <c r="V24" s="43"/>
      <c r="W24" s="43"/>
      <c r="X24" s="41"/>
      <c r="Y24" s="44"/>
      <c r="Z24" s="44"/>
      <c r="AA24" s="41"/>
      <c r="AB24" s="45"/>
      <c r="AC24" s="45"/>
      <c r="AD24" s="45"/>
      <c r="AE24" s="45"/>
      <c r="AF24" s="45"/>
      <c r="AG24" s="45"/>
      <c r="AH24" s="45"/>
    </row>
    <row r="25" ht="39.75" customHeight="1">
      <c r="A25" s="41" t="s">
        <v>97</v>
      </c>
      <c r="B25" s="41" t="s">
        <v>35</v>
      </c>
      <c r="C25" s="41" t="s">
        <v>55</v>
      </c>
      <c r="D25" s="41" t="s">
        <v>98</v>
      </c>
      <c r="E25" s="41" t="s">
        <v>99</v>
      </c>
      <c r="F25" s="41" t="s">
        <v>38</v>
      </c>
      <c r="G25" s="41" t="s">
        <v>63</v>
      </c>
      <c r="H25" s="42">
        <v>46230.0</v>
      </c>
      <c r="I25" s="42"/>
      <c r="J25" s="42"/>
      <c r="K25" s="42"/>
      <c r="L25" s="32"/>
      <c r="M25" s="42"/>
      <c r="N25" s="42"/>
      <c r="O25" s="42"/>
      <c r="P25" s="42"/>
      <c r="Q25" s="42">
        <v>46233.0</v>
      </c>
      <c r="R25" s="41" t="s">
        <v>64</v>
      </c>
      <c r="S25" s="41" t="s">
        <v>100</v>
      </c>
      <c r="T25" s="41" t="s">
        <v>41</v>
      </c>
      <c r="U25" s="41" t="s">
        <v>96</v>
      </c>
      <c r="V25" s="43"/>
      <c r="W25" s="43"/>
      <c r="X25" s="41"/>
      <c r="Y25" s="44"/>
      <c r="Z25" s="44"/>
      <c r="AA25" s="41"/>
      <c r="AB25" s="45"/>
      <c r="AC25" s="45"/>
      <c r="AD25" s="45"/>
      <c r="AE25" s="45"/>
      <c r="AF25" s="45"/>
      <c r="AG25" s="45"/>
      <c r="AH25" s="45"/>
    </row>
    <row r="26" ht="39.75" customHeight="1">
      <c r="A26" s="41" t="s">
        <v>101</v>
      </c>
      <c r="B26" s="41" t="s">
        <v>35</v>
      </c>
      <c r="C26" s="41" t="s">
        <v>55</v>
      </c>
      <c r="D26" s="41" t="s">
        <v>102</v>
      </c>
      <c r="E26" s="41" t="s">
        <v>103</v>
      </c>
      <c r="F26" s="41" t="s">
        <v>38</v>
      </c>
      <c r="G26" s="41" t="s">
        <v>39</v>
      </c>
      <c r="H26" s="42">
        <v>46234.0</v>
      </c>
      <c r="I26" s="42"/>
      <c r="J26" s="42"/>
      <c r="K26" s="42"/>
      <c r="L26" s="32"/>
      <c r="M26" s="42"/>
      <c r="N26" s="42"/>
      <c r="O26" s="42"/>
      <c r="P26" s="42"/>
      <c r="Q26" s="42">
        <v>46244.0</v>
      </c>
      <c r="R26" s="41" t="s">
        <v>64</v>
      </c>
      <c r="S26" s="41" t="s">
        <v>104</v>
      </c>
      <c r="T26" s="41" t="s">
        <v>41</v>
      </c>
      <c r="U26" s="41" t="s">
        <v>105</v>
      </c>
      <c r="V26" s="43"/>
      <c r="W26" s="43"/>
      <c r="X26" s="41"/>
      <c r="Y26" s="44"/>
      <c r="Z26" s="44"/>
      <c r="AA26" s="41"/>
      <c r="AB26" s="45"/>
      <c r="AC26" s="45"/>
      <c r="AD26" s="45"/>
      <c r="AE26" s="45"/>
      <c r="AF26" s="45"/>
      <c r="AG26" s="45"/>
      <c r="AH26" s="45"/>
    </row>
    <row r="27" ht="39.75" customHeight="1">
      <c r="A27" s="41" t="s">
        <v>106</v>
      </c>
      <c r="B27" s="41" t="s">
        <v>35</v>
      </c>
      <c r="C27" s="41" t="s">
        <v>55</v>
      </c>
      <c r="D27" s="41" t="s">
        <v>107</v>
      </c>
      <c r="E27" s="41" t="s">
        <v>108</v>
      </c>
      <c r="F27" s="41" t="s">
        <v>38</v>
      </c>
      <c r="G27" s="41" t="s">
        <v>63</v>
      </c>
      <c r="H27" s="42">
        <v>46244.0</v>
      </c>
      <c r="I27" s="42"/>
      <c r="J27" s="42"/>
      <c r="K27" s="42"/>
      <c r="L27" s="32"/>
      <c r="M27" s="42"/>
      <c r="N27" s="42"/>
      <c r="O27" s="42"/>
      <c r="P27" s="42"/>
      <c r="Q27" s="42">
        <v>46249.0</v>
      </c>
      <c r="R27" s="41" t="s">
        <v>64</v>
      </c>
      <c r="S27" s="41" t="s">
        <v>109</v>
      </c>
      <c r="T27" s="41" t="s">
        <v>41</v>
      </c>
      <c r="U27" s="41" t="s">
        <v>110</v>
      </c>
      <c r="V27" s="43"/>
      <c r="W27" s="43"/>
      <c r="X27" s="41"/>
      <c r="Y27" s="44"/>
      <c r="Z27" s="44"/>
      <c r="AA27" s="41"/>
      <c r="AB27" s="45"/>
      <c r="AC27" s="45"/>
      <c r="AD27" s="45"/>
      <c r="AE27" s="45"/>
      <c r="AF27" s="45"/>
      <c r="AG27" s="45"/>
      <c r="AH27" s="45"/>
    </row>
    <row r="28" ht="39.75" customHeight="1">
      <c r="A28" s="41" t="s">
        <v>111</v>
      </c>
      <c r="B28" s="41" t="s">
        <v>35</v>
      </c>
      <c r="C28" s="41" t="s">
        <v>55</v>
      </c>
      <c r="D28" s="41" t="s">
        <v>112</v>
      </c>
      <c r="E28" s="41" t="s">
        <v>113</v>
      </c>
      <c r="F28" s="41" t="s">
        <v>38</v>
      </c>
      <c r="G28" s="41" t="s">
        <v>78</v>
      </c>
      <c r="H28" s="42">
        <v>46235.0</v>
      </c>
      <c r="I28" s="42"/>
      <c r="J28" s="42"/>
      <c r="K28" s="42"/>
      <c r="L28" s="32"/>
      <c r="M28" s="42"/>
      <c r="N28" s="42"/>
      <c r="O28" s="42"/>
      <c r="P28" s="42"/>
      <c r="Q28" s="42">
        <v>46244.0</v>
      </c>
      <c r="R28" s="41" t="s">
        <v>64</v>
      </c>
      <c r="S28" s="41" t="s">
        <v>114</v>
      </c>
      <c r="T28" s="41" t="s">
        <v>41</v>
      </c>
      <c r="U28" s="41" t="s">
        <v>96</v>
      </c>
      <c r="V28" s="43"/>
      <c r="W28" s="43"/>
      <c r="X28" s="41"/>
      <c r="Y28" s="44"/>
      <c r="Z28" s="44"/>
      <c r="AA28" s="41"/>
      <c r="AB28" s="45"/>
      <c r="AC28" s="45"/>
      <c r="AD28" s="45"/>
      <c r="AE28" s="45"/>
      <c r="AF28" s="45"/>
      <c r="AG28" s="45"/>
      <c r="AH28" s="45"/>
    </row>
    <row r="29" ht="39.75" customHeight="1">
      <c r="A29" s="41" t="s">
        <v>115</v>
      </c>
      <c r="B29" s="41" t="s">
        <v>35</v>
      </c>
      <c r="C29" s="41" t="s">
        <v>55</v>
      </c>
      <c r="D29" s="41" t="s">
        <v>116</v>
      </c>
      <c r="E29" s="41" t="s">
        <v>117</v>
      </c>
      <c r="F29" s="41" t="s">
        <v>38</v>
      </c>
      <c r="G29" s="41" t="s">
        <v>39</v>
      </c>
      <c r="H29" s="42">
        <v>46233.0</v>
      </c>
      <c r="I29" s="42"/>
      <c r="J29" s="42"/>
      <c r="K29" s="42"/>
      <c r="L29" s="32"/>
      <c r="M29" s="42"/>
      <c r="N29" s="42"/>
      <c r="O29" s="42"/>
      <c r="P29" s="42"/>
      <c r="Q29" s="42">
        <v>46244.0</v>
      </c>
      <c r="R29" s="41" t="s">
        <v>64</v>
      </c>
      <c r="S29" s="41" t="s">
        <v>118</v>
      </c>
      <c r="T29" s="41" t="s">
        <v>41</v>
      </c>
      <c r="U29" s="41" t="s">
        <v>96</v>
      </c>
      <c r="V29" s="43"/>
      <c r="W29" s="43"/>
      <c r="X29" s="41"/>
      <c r="Y29" s="44"/>
      <c r="Z29" s="44"/>
      <c r="AA29" s="41"/>
      <c r="AB29" s="45"/>
      <c r="AC29" s="45"/>
      <c r="AD29" s="45"/>
      <c r="AE29" s="45"/>
      <c r="AF29" s="45"/>
      <c r="AG29" s="45"/>
      <c r="AH29" s="45"/>
    </row>
    <row r="30" ht="39.75" customHeight="1">
      <c r="A30" s="41" t="s">
        <v>119</v>
      </c>
      <c r="B30" s="41" t="s">
        <v>35</v>
      </c>
      <c r="C30" s="41" t="s">
        <v>55</v>
      </c>
      <c r="D30" s="41" t="s">
        <v>120</v>
      </c>
      <c r="E30" s="41" t="s">
        <v>121</v>
      </c>
      <c r="F30" s="41" t="s">
        <v>38</v>
      </c>
      <c r="G30" s="41" t="s">
        <v>78</v>
      </c>
      <c r="H30" s="42">
        <v>46235.0</v>
      </c>
      <c r="I30" s="42"/>
      <c r="J30" s="42"/>
      <c r="K30" s="42"/>
      <c r="L30" s="32"/>
      <c r="M30" s="42"/>
      <c r="N30" s="42"/>
      <c r="O30" s="42"/>
      <c r="P30" s="42"/>
      <c r="Q30" s="42">
        <v>46249.0</v>
      </c>
      <c r="R30" s="41" t="s">
        <v>64</v>
      </c>
      <c r="S30" s="41" t="s">
        <v>122</v>
      </c>
      <c r="T30" s="41" t="s">
        <v>41</v>
      </c>
      <c r="U30" s="41" t="s">
        <v>110</v>
      </c>
      <c r="V30" s="43"/>
      <c r="W30" s="43"/>
      <c r="X30" s="41"/>
      <c r="Y30" s="44"/>
      <c r="Z30" s="44"/>
      <c r="AA30" s="41"/>
      <c r="AB30" s="45"/>
      <c r="AC30" s="45"/>
      <c r="AD30" s="45"/>
      <c r="AE30" s="45"/>
      <c r="AF30" s="45"/>
      <c r="AG30" s="45"/>
      <c r="AH30" s="45"/>
    </row>
    <row r="31" ht="39.75" customHeight="1">
      <c r="A31" s="41" t="s">
        <v>123</v>
      </c>
      <c r="B31" s="41" t="s">
        <v>35</v>
      </c>
      <c r="C31" s="41" t="s">
        <v>55</v>
      </c>
      <c r="D31" s="41" t="s">
        <v>124</v>
      </c>
      <c r="E31" s="41" t="s">
        <v>125</v>
      </c>
      <c r="F31" s="41" t="s">
        <v>51</v>
      </c>
      <c r="G31" s="41" t="s">
        <v>63</v>
      </c>
      <c r="H31" s="42">
        <v>46239.0</v>
      </c>
      <c r="I31" s="42"/>
      <c r="J31" s="42"/>
      <c r="K31" s="42"/>
      <c r="L31" s="32"/>
      <c r="M31" s="42"/>
      <c r="N31" s="42"/>
      <c r="O31" s="42"/>
      <c r="P31" s="42"/>
      <c r="Q31" s="42">
        <v>46250.0</v>
      </c>
      <c r="R31" s="41" t="s">
        <v>64</v>
      </c>
      <c r="S31" s="41" t="s">
        <v>126</v>
      </c>
      <c r="T31" s="41" t="s">
        <v>41</v>
      </c>
      <c r="U31" s="41" t="s">
        <v>110</v>
      </c>
      <c r="V31" s="43"/>
      <c r="W31" s="43"/>
      <c r="X31" s="41"/>
      <c r="Y31" s="44"/>
      <c r="Z31" s="44"/>
      <c r="AA31" s="41"/>
      <c r="AB31" s="45"/>
      <c r="AC31" s="45"/>
      <c r="AD31" s="45"/>
      <c r="AE31" s="45"/>
      <c r="AF31" s="45"/>
      <c r="AG31" s="45"/>
      <c r="AH31" s="45"/>
    </row>
    <row r="32" ht="39.75" customHeight="1">
      <c r="A32" s="41" t="s">
        <v>127</v>
      </c>
      <c r="B32" s="41" t="s">
        <v>35</v>
      </c>
      <c r="C32" s="41" t="s">
        <v>55</v>
      </c>
      <c r="D32" s="41" t="s">
        <v>128</v>
      </c>
      <c r="E32" s="41" t="s">
        <v>129</v>
      </c>
      <c r="F32" s="41" t="s">
        <v>51</v>
      </c>
      <c r="G32" s="41" t="s">
        <v>63</v>
      </c>
      <c r="H32" s="42">
        <v>46242.0</v>
      </c>
      <c r="I32" s="42"/>
      <c r="J32" s="42"/>
      <c r="K32" s="42"/>
      <c r="L32" s="32"/>
      <c r="M32" s="42"/>
      <c r="N32" s="42"/>
      <c r="O32" s="42"/>
      <c r="P32" s="42"/>
      <c r="Q32" s="42">
        <v>46250.0</v>
      </c>
      <c r="R32" s="41" t="s">
        <v>64</v>
      </c>
      <c r="S32" s="41" t="s">
        <v>130</v>
      </c>
      <c r="T32" s="41" t="s">
        <v>41</v>
      </c>
      <c r="U32" s="41" t="s">
        <v>110</v>
      </c>
      <c r="V32" s="43"/>
      <c r="W32" s="43"/>
      <c r="X32" s="41"/>
      <c r="Y32" s="44"/>
      <c r="Z32" s="44"/>
      <c r="AA32" s="41"/>
      <c r="AB32" s="45"/>
      <c r="AC32" s="45"/>
      <c r="AD32" s="45"/>
      <c r="AE32" s="45"/>
      <c r="AF32" s="45"/>
      <c r="AG32" s="45"/>
      <c r="AH32" s="45"/>
    </row>
    <row r="33" ht="39.75" customHeight="1">
      <c r="A33" s="41" t="s">
        <v>131</v>
      </c>
      <c r="B33" s="41" t="s">
        <v>35</v>
      </c>
      <c r="C33" s="41" t="s">
        <v>55</v>
      </c>
      <c r="D33" s="41" t="s">
        <v>132</v>
      </c>
      <c r="E33" s="41" t="s">
        <v>133</v>
      </c>
      <c r="F33" s="41" t="s">
        <v>38</v>
      </c>
      <c r="G33" s="41" t="s">
        <v>78</v>
      </c>
      <c r="H33" s="42">
        <v>46235.0</v>
      </c>
      <c r="I33" s="42"/>
      <c r="J33" s="42"/>
      <c r="K33" s="42"/>
      <c r="L33" s="32"/>
      <c r="M33" s="42"/>
      <c r="N33" s="42"/>
      <c r="O33" s="42"/>
      <c r="P33" s="42"/>
      <c r="Q33" s="42">
        <v>46249.0</v>
      </c>
      <c r="R33" s="41" t="s">
        <v>64</v>
      </c>
      <c r="S33" s="41" t="s">
        <v>134</v>
      </c>
      <c r="T33" s="41" t="s">
        <v>41</v>
      </c>
      <c r="U33" s="41" t="s">
        <v>135</v>
      </c>
      <c r="V33" s="43"/>
      <c r="W33" s="43"/>
      <c r="X33" s="41"/>
      <c r="Y33" s="44"/>
      <c r="Z33" s="44"/>
      <c r="AA33" s="41"/>
      <c r="AB33" s="45"/>
      <c r="AC33" s="45"/>
      <c r="AD33" s="45"/>
      <c r="AE33" s="45"/>
      <c r="AF33" s="45"/>
      <c r="AG33" s="45"/>
      <c r="AH33" s="45"/>
    </row>
    <row r="34" ht="39.75" customHeight="1">
      <c r="A34" s="41" t="s">
        <v>136</v>
      </c>
      <c r="B34" s="41" t="s">
        <v>35</v>
      </c>
      <c r="C34" s="41" t="s">
        <v>55</v>
      </c>
      <c r="D34" s="41" t="s">
        <v>137</v>
      </c>
      <c r="E34" s="41" t="s">
        <v>138</v>
      </c>
      <c r="F34" s="41" t="s">
        <v>51</v>
      </c>
      <c r="G34" s="41" t="s">
        <v>39</v>
      </c>
      <c r="H34" s="42">
        <v>46251.0</v>
      </c>
      <c r="I34" s="42"/>
      <c r="J34" s="42"/>
      <c r="K34" s="42"/>
      <c r="L34" s="32"/>
      <c r="M34" s="42"/>
      <c r="N34" s="42"/>
      <c r="O34" s="42"/>
      <c r="P34" s="42"/>
      <c r="Q34" s="42">
        <v>46257.0</v>
      </c>
      <c r="R34" s="41" t="s">
        <v>64</v>
      </c>
      <c r="S34" s="41" t="s">
        <v>139</v>
      </c>
      <c r="T34" s="41" t="s">
        <v>41</v>
      </c>
      <c r="U34" s="41" t="s">
        <v>135</v>
      </c>
      <c r="V34" s="43"/>
      <c r="W34" s="43"/>
      <c r="X34" s="41"/>
      <c r="Y34" s="44"/>
      <c r="Z34" s="44"/>
      <c r="AA34" s="41"/>
      <c r="AB34" s="45"/>
      <c r="AC34" s="45"/>
      <c r="AD34" s="45"/>
      <c r="AE34" s="45"/>
      <c r="AF34" s="45"/>
      <c r="AG34" s="45"/>
      <c r="AH34" s="45"/>
    </row>
    <row r="35" ht="39.75" customHeight="1">
      <c r="A35" s="41" t="s">
        <v>140</v>
      </c>
      <c r="B35" s="41" t="s">
        <v>35</v>
      </c>
      <c r="C35" s="41" t="s">
        <v>55</v>
      </c>
      <c r="D35" s="41" t="s">
        <v>141</v>
      </c>
      <c r="E35" s="41" t="s">
        <v>142</v>
      </c>
      <c r="F35" s="41" t="s">
        <v>38</v>
      </c>
      <c r="G35" s="41" t="s">
        <v>39</v>
      </c>
      <c r="H35" s="42">
        <v>46257.0</v>
      </c>
      <c r="I35" s="42"/>
      <c r="J35" s="42"/>
      <c r="K35" s="42"/>
      <c r="L35" s="32"/>
      <c r="M35" s="42"/>
      <c r="N35" s="42"/>
      <c r="O35" s="42"/>
      <c r="P35" s="42"/>
      <c r="Q35" s="42">
        <v>46267.0</v>
      </c>
      <c r="R35" s="41" t="s">
        <v>64</v>
      </c>
      <c r="S35" s="41" t="s">
        <v>143</v>
      </c>
      <c r="T35" s="41" t="s">
        <v>41</v>
      </c>
      <c r="U35" s="41" t="s">
        <v>144</v>
      </c>
      <c r="V35" s="43"/>
      <c r="W35" s="43"/>
      <c r="X35" s="41"/>
      <c r="Y35" s="44"/>
      <c r="Z35" s="44"/>
      <c r="AA35" s="41"/>
      <c r="AB35" s="45"/>
      <c r="AC35" s="45"/>
      <c r="AD35" s="45"/>
      <c r="AE35" s="45"/>
      <c r="AF35" s="45"/>
      <c r="AG35" s="45"/>
      <c r="AH35" s="45"/>
    </row>
    <row r="36" ht="20.25" customHeight="1">
      <c r="A36" s="20"/>
      <c r="B36" s="20"/>
      <c r="C36" s="20"/>
      <c r="D36" s="20"/>
      <c r="E36" s="20"/>
      <c r="F36" s="20"/>
      <c r="G36" s="20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0"/>
      <c r="S36" s="20"/>
      <c r="T36" s="20"/>
      <c r="U36" s="20"/>
      <c r="V36" s="22"/>
      <c r="W36" s="22"/>
      <c r="X36" s="20"/>
      <c r="Y36" s="23"/>
      <c r="Z36" s="23"/>
      <c r="AA36" s="20"/>
      <c r="AB36" s="24"/>
      <c r="AC36" s="24"/>
      <c r="AD36" s="24"/>
      <c r="AE36" s="24"/>
      <c r="AF36" s="24"/>
      <c r="AG36" s="24"/>
      <c r="AH36" s="24"/>
    </row>
    <row r="37" ht="30.0" customHeight="1">
      <c r="A37" s="46" t="s">
        <v>145</v>
      </c>
      <c r="B37" s="47"/>
      <c r="C37" s="26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4"/>
      <c r="AC37" s="14"/>
      <c r="AD37" s="14"/>
      <c r="AE37" s="14"/>
      <c r="AF37" s="14"/>
      <c r="AG37" s="14"/>
      <c r="AH37" s="14"/>
    </row>
    <row r="38" ht="25.5" customHeight="1">
      <c r="A38" s="48" t="s">
        <v>146</v>
      </c>
      <c r="B38" s="49"/>
      <c r="C38" s="50"/>
      <c r="D38" s="51"/>
      <c r="E38" s="51"/>
      <c r="F38" s="51"/>
      <c r="G38" s="51"/>
      <c r="H38" s="51"/>
      <c r="I38" s="51"/>
      <c r="J38" s="51"/>
      <c r="K38" s="51"/>
      <c r="L38" s="52">
        <v>46267.0</v>
      </c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3"/>
      <c r="AC38" s="53"/>
      <c r="AD38" s="53"/>
      <c r="AE38" s="53"/>
      <c r="AF38" s="53"/>
      <c r="AG38" s="53"/>
      <c r="AH38" s="53"/>
    </row>
    <row r="39" ht="32.25" customHeight="1">
      <c r="A39" s="15" t="s">
        <v>147</v>
      </c>
      <c r="B39" s="15" t="s">
        <v>60</v>
      </c>
      <c r="C39" s="15" t="s">
        <v>146</v>
      </c>
      <c r="D39" s="15" t="s">
        <v>148</v>
      </c>
      <c r="E39" s="15" t="s">
        <v>149</v>
      </c>
      <c r="F39" s="15" t="s">
        <v>51</v>
      </c>
      <c r="G39" s="15" t="s">
        <v>39</v>
      </c>
      <c r="H39" s="16"/>
      <c r="I39" s="16"/>
      <c r="J39" s="16"/>
      <c r="K39" s="16"/>
      <c r="L39" s="32"/>
      <c r="M39" s="16"/>
      <c r="N39" s="16"/>
      <c r="O39" s="16"/>
      <c r="P39" s="16"/>
      <c r="Q39" s="16">
        <v>46236.0</v>
      </c>
      <c r="R39" s="15" t="s">
        <v>64</v>
      </c>
      <c r="S39" s="15" t="s">
        <v>65</v>
      </c>
      <c r="T39" s="15" t="s">
        <v>41</v>
      </c>
      <c r="U39" s="15">
        <v>1.0</v>
      </c>
      <c r="V39" s="17"/>
      <c r="W39" s="17"/>
      <c r="X39" s="15"/>
      <c r="Y39" s="18"/>
      <c r="Z39" s="18"/>
      <c r="AA39" s="15"/>
      <c r="AB39" s="19"/>
      <c r="AC39" s="19"/>
      <c r="AD39" s="19"/>
      <c r="AE39" s="19"/>
      <c r="AF39" s="19"/>
      <c r="AG39" s="19"/>
      <c r="AH39" s="19"/>
    </row>
    <row r="40" ht="39.75" customHeight="1">
      <c r="A40" s="15" t="s">
        <v>150</v>
      </c>
      <c r="B40" s="15" t="s">
        <v>60</v>
      </c>
      <c r="C40" s="15" t="s">
        <v>146</v>
      </c>
      <c r="D40" s="15" t="s">
        <v>151</v>
      </c>
      <c r="E40" s="15" t="s">
        <v>149</v>
      </c>
      <c r="F40" s="15" t="s">
        <v>51</v>
      </c>
      <c r="G40" s="15" t="s">
        <v>39</v>
      </c>
      <c r="H40" s="16"/>
      <c r="I40" s="16"/>
      <c r="J40" s="16"/>
      <c r="K40" s="16"/>
      <c r="L40" s="32"/>
      <c r="M40" s="16"/>
      <c r="N40" s="16"/>
      <c r="O40" s="16"/>
      <c r="P40" s="16"/>
      <c r="Q40" s="16">
        <v>46236.0</v>
      </c>
      <c r="R40" s="15" t="s">
        <v>64</v>
      </c>
      <c r="S40" s="15" t="s">
        <v>65</v>
      </c>
      <c r="T40" s="15" t="s">
        <v>41</v>
      </c>
      <c r="U40" s="15">
        <v>2.0</v>
      </c>
      <c r="V40" s="17"/>
      <c r="W40" s="17"/>
      <c r="X40" s="15"/>
      <c r="Y40" s="18"/>
      <c r="Z40" s="18"/>
      <c r="AA40" s="15"/>
      <c r="AB40" s="19"/>
      <c r="AC40" s="19"/>
      <c r="AD40" s="19"/>
      <c r="AE40" s="19"/>
      <c r="AF40" s="19"/>
      <c r="AG40" s="19"/>
      <c r="AH40" s="19"/>
    </row>
    <row r="41" ht="39.75" customHeight="1">
      <c r="A41" s="15" t="s">
        <v>152</v>
      </c>
      <c r="B41" s="15" t="s">
        <v>60</v>
      </c>
      <c r="C41" s="15" t="s">
        <v>146</v>
      </c>
      <c r="D41" s="15" t="s">
        <v>153</v>
      </c>
      <c r="E41" s="15" t="s">
        <v>149</v>
      </c>
      <c r="F41" s="15" t="s">
        <v>51</v>
      </c>
      <c r="G41" s="15" t="s">
        <v>78</v>
      </c>
      <c r="H41" s="16"/>
      <c r="I41" s="16"/>
      <c r="J41" s="16"/>
      <c r="K41" s="16"/>
      <c r="L41" s="32"/>
      <c r="M41" s="16"/>
      <c r="N41" s="16"/>
      <c r="O41" s="16"/>
      <c r="P41" s="16"/>
      <c r="Q41" s="16">
        <v>46236.0</v>
      </c>
      <c r="R41" s="15" t="s">
        <v>64</v>
      </c>
      <c r="S41" s="15" t="s">
        <v>65</v>
      </c>
      <c r="T41" s="15" t="s">
        <v>41</v>
      </c>
      <c r="U41" s="15" t="s">
        <v>154</v>
      </c>
      <c r="V41" s="17"/>
      <c r="W41" s="17"/>
      <c r="X41" s="15"/>
      <c r="Y41" s="18"/>
      <c r="Z41" s="18"/>
      <c r="AA41" s="15" t="s">
        <v>155</v>
      </c>
      <c r="AB41" s="19"/>
      <c r="AC41" s="19"/>
      <c r="AD41" s="19"/>
      <c r="AE41" s="19"/>
      <c r="AF41" s="19"/>
      <c r="AG41" s="19"/>
      <c r="AH41" s="19"/>
    </row>
    <row r="42" ht="18.75" customHeight="1">
      <c r="A42" s="20"/>
      <c r="B42" s="20"/>
      <c r="C42" s="20"/>
      <c r="D42" s="20"/>
      <c r="E42" s="20"/>
      <c r="F42" s="20"/>
      <c r="G42" s="20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0"/>
      <c r="S42" s="20"/>
      <c r="T42" s="20"/>
      <c r="U42" s="20"/>
      <c r="V42" s="22"/>
      <c r="W42" s="22"/>
      <c r="X42" s="20"/>
      <c r="Y42" s="23"/>
      <c r="Z42" s="23"/>
      <c r="AA42" s="20"/>
      <c r="AB42" s="24"/>
      <c r="AC42" s="24"/>
      <c r="AD42" s="24"/>
      <c r="AE42" s="24"/>
      <c r="AF42" s="24"/>
      <c r="AG42" s="24"/>
      <c r="AH42" s="24"/>
    </row>
    <row r="43" ht="39.75" customHeight="1">
      <c r="A43" s="41" t="s">
        <v>156</v>
      </c>
      <c r="B43" s="41" t="s">
        <v>35</v>
      </c>
      <c r="C43" s="41" t="s">
        <v>146</v>
      </c>
      <c r="D43" s="41" t="s">
        <v>157</v>
      </c>
      <c r="E43" s="41" t="s">
        <v>158</v>
      </c>
      <c r="F43" s="41" t="s">
        <v>51</v>
      </c>
      <c r="G43" s="41" t="s">
        <v>39</v>
      </c>
      <c r="H43" s="42">
        <v>46230.0</v>
      </c>
      <c r="I43" s="42"/>
      <c r="J43" s="42"/>
      <c r="K43" s="42"/>
      <c r="L43" s="32"/>
      <c r="M43" s="42"/>
      <c r="N43" s="42"/>
      <c r="O43" s="42"/>
      <c r="P43" s="42"/>
      <c r="Q43" s="42">
        <v>46236.0</v>
      </c>
      <c r="R43" s="41" t="s">
        <v>64</v>
      </c>
      <c r="S43" s="41" t="s">
        <v>159</v>
      </c>
      <c r="T43" s="41" t="s">
        <v>41</v>
      </c>
      <c r="U43" s="41" t="s">
        <v>96</v>
      </c>
      <c r="V43" s="43"/>
      <c r="W43" s="43"/>
      <c r="X43" s="41"/>
      <c r="Y43" s="44"/>
      <c r="Z43" s="44"/>
      <c r="AA43" s="41"/>
      <c r="AB43" s="45"/>
      <c r="AC43" s="45"/>
      <c r="AD43" s="45"/>
      <c r="AE43" s="45"/>
      <c r="AF43" s="45"/>
      <c r="AG43" s="45"/>
      <c r="AH43" s="45"/>
    </row>
    <row r="44" ht="39.75" customHeight="1">
      <c r="A44" s="41" t="s">
        <v>160</v>
      </c>
      <c r="B44" s="41" t="s">
        <v>35</v>
      </c>
      <c r="C44" s="41" t="s">
        <v>146</v>
      </c>
      <c r="D44" s="41" t="s">
        <v>161</v>
      </c>
      <c r="E44" s="41" t="s">
        <v>162</v>
      </c>
      <c r="F44" s="41" t="s">
        <v>51</v>
      </c>
      <c r="G44" s="41" t="s">
        <v>39</v>
      </c>
      <c r="H44" s="42">
        <v>46230.0</v>
      </c>
      <c r="I44" s="42"/>
      <c r="J44" s="42"/>
      <c r="K44" s="42"/>
      <c r="L44" s="32"/>
      <c r="M44" s="42"/>
      <c r="N44" s="42"/>
      <c r="O44" s="42"/>
      <c r="P44" s="42"/>
      <c r="Q44" s="42">
        <v>46236.0</v>
      </c>
      <c r="R44" s="41" t="s">
        <v>64</v>
      </c>
      <c r="S44" s="41" t="s">
        <v>163</v>
      </c>
      <c r="T44" s="41" t="s">
        <v>41</v>
      </c>
      <c r="U44" s="41" t="s">
        <v>96</v>
      </c>
      <c r="V44" s="43"/>
      <c r="W44" s="43"/>
      <c r="X44" s="41"/>
      <c r="Y44" s="44"/>
      <c r="Z44" s="44"/>
      <c r="AA44" s="41"/>
      <c r="AB44" s="45"/>
      <c r="AC44" s="45"/>
      <c r="AD44" s="45"/>
      <c r="AE44" s="45"/>
      <c r="AF44" s="45"/>
      <c r="AG44" s="45"/>
      <c r="AH44" s="45"/>
    </row>
    <row r="45" ht="39.75" customHeight="1">
      <c r="A45" s="41" t="s">
        <v>164</v>
      </c>
      <c r="B45" s="41" t="s">
        <v>35</v>
      </c>
      <c r="C45" s="41" t="s">
        <v>146</v>
      </c>
      <c r="D45" s="41" t="s">
        <v>165</v>
      </c>
      <c r="E45" s="41" t="s">
        <v>166</v>
      </c>
      <c r="F45" s="41" t="s">
        <v>51</v>
      </c>
      <c r="G45" s="41" t="s">
        <v>167</v>
      </c>
      <c r="H45" s="42">
        <v>46237.0</v>
      </c>
      <c r="I45" s="42"/>
      <c r="J45" s="42"/>
      <c r="K45" s="42"/>
      <c r="L45" s="32"/>
      <c r="M45" s="42"/>
      <c r="N45" s="42"/>
      <c r="O45" s="42"/>
      <c r="P45" s="42"/>
      <c r="Q45" s="42">
        <v>46248.0</v>
      </c>
      <c r="R45" s="41" t="s">
        <v>64</v>
      </c>
      <c r="S45" s="41" t="s">
        <v>168</v>
      </c>
      <c r="T45" s="41" t="s">
        <v>41</v>
      </c>
      <c r="U45" s="41" t="s">
        <v>105</v>
      </c>
      <c r="V45" s="43"/>
      <c r="W45" s="43"/>
      <c r="X45" s="41"/>
      <c r="Y45" s="44"/>
      <c r="Z45" s="44"/>
      <c r="AA45" s="41"/>
      <c r="AB45" s="45"/>
      <c r="AC45" s="45"/>
      <c r="AD45" s="45"/>
      <c r="AE45" s="45"/>
      <c r="AF45" s="45"/>
      <c r="AG45" s="45"/>
      <c r="AH45" s="45"/>
    </row>
    <row r="46" ht="39.75" customHeight="1">
      <c r="A46" s="41" t="s">
        <v>169</v>
      </c>
      <c r="B46" s="41" t="s">
        <v>35</v>
      </c>
      <c r="C46" s="41" t="s">
        <v>146</v>
      </c>
      <c r="D46" s="41" t="s">
        <v>170</v>
      </c>
      <c r="E46" s="41" t="s">
        <v>171</v>
      </c>
      <c r="F46" s="41" t="s">
        <v>172</v>
      </c>
      <c r="G46" s="41" t="s">
        <v>39</v>
      </c>
      <c r="H46" s="42">
        <v>46232.0</v>
      </c>
      <c r="I46" s="42"/>
      <c r="J46" s="42"/>
      <c r="K46" s="42"/>
      <c r="L46" s="32"/>
      <c r="M46" s="42"/>
      <c r="N46" s="42"/>
      <c r="O46" s="42"/>
      <c r="P46" s="42"/>
      <c r="Q46" s="42">
        <v>46239.0</v>
      </c>
      <c r="R46" s="41" t="s">
        <v>64</v>
      </c>
      <c r="S46" s="41" t="s">
        <v>173</v>
      </c>
      <c r="T46" s="41" t="s">
        <v>41</v>
      </c>
      <c r="U46" s="41" t="s">
        <v>47</v>
      </c>
      <c r="V46" s="43"/>
      <c r="W46" s="43"/>
      <c r="X46" s="41"/>
      <c r="Y46" s="44"/>
      <c r="Z46" s="44"/>
      <c r="AA46" s="41"/>
      <c r="AB46" s="45"/>
      <c r="AC46" s="45"/>
      <c r="AD46" s="45"/>
      <c r="AE46" s="45"/>
      <c r="AF46" s="45"/>
      <c r="AG46" s="45"/>
      <c r="AH46" s="45"/>
    </row>
    <row r="47" ht="39.75" customHeight="1">
      <c r="A47" s="41" t="s">
        <v>174</v>
      </c>
      <c r="B47" s="41" t="s">
        <v>35</v>
      </c>
      <c r="C47" s="41" t="s">
        <v>146</v>
      </c>
      <c r="D47" s="41" t="s">
        <v>175</v>
      </c>
      <c r="E47" s="41" t="s">
        <v>176</v>
      </c>
      <c r="F47" s="41" t="s">
        <v>38</v>
      </c>
      <c r="G47" s="41" t="s">
        <v>78</v>
      </c>
      <c r="H47" s="42">
        <v>46230.0</v>
      </c>
      <c r="I47" s="42"/>
      <c r="J47" s="42"/>
      <c r="K47" s="42"/>
      <c r="L47" s="32"/>
      <c r="M47" s="42"/>
      <c r="N47" s="42"/>
      <c r="O47" s="42"/>
      <c r="P47" s="42"/>
      <c r="Q47" s="42">
        <v>46236.0</v>
      </c>
      <c r="R47" s="41" t="s">
        <v>64</v>
      </c>
      <c r="S47" s="41" t="s">
        <v>177</v>
      </c>
      <c r="T47" s="41" t="s">
        <v>41</v>
      </c>
      <c r="U47" s="41" t="s">
        <v>96</v>
      </c>
      <c r="V47" s="43"/>
      <c r="W47" s="43"/>
      <c r="X47" s="41"/>
      <c r="Y47" s="44"/>
      <c r="Z47" s="44"/>
      <c r="AA47" s="41"/>
      <c r="AB47" s="45"/>
      <c r="AC47" s="45"/>
      <c r="AD47" s="45"/>
      <c r="AE47" s="45"/>
      <c r="AF47" s="45"/>
      <c r="AG47" s="45"/>
      <c r="AH47" s="45"/>
    </row>
    <row r="48" ht="39.75" customHeight="1">
      <c r="A48" s="41" t="s">
        <v>178</v>
      </c>
      <c r="B48" s="41" t="s">
        <v>35</v>
      </c>
      <c r="C48" s="41" t="s">
        <v>146</v>
      </c>
      <c r="D48" s="41" t="s">
        <v>179</v>
      </c>
      <c r="E48" s="41" t="s">
        <v>180</v>
      </c>
      <c r="F48" s="41" t="s">
        <v>51</v>
      </c>
      <c r="G48" s="41" t="s">
        <v>78</v>
      </c>
      <c r="H48" s="42">
        <v>46241.0</v>
      </c>
      <c r="I48" s="42"/>
      <c r="J48" s="42"/>
      <c r="K48" s="42"/>
      <c r="L48" s="32"/>
      <c r="M48" s="42"/>
      <c r="N48" s="42"/>
      <c r="O48" s="42"/>
      <c r="P48" s="42"/>
      <c r="Q48" s="42">
        <v>46250.0</v>
      </c>
      <c r="R48" s="41" t="s">
        <v>64</v>
      </c>
      <c r="S48" s="41" t="s">
        <v>181</v>
      </c>
      <c r="T48" s="41" t="s">
        <v>41</v>
      </c>
      <c r="U48" s="41" t="s">
        <v>135</v>
      </c>
      <c r="V48" s="43"/>
      <c r="W48" s="43"/>
      <c r="X48" s="41"/>
      <c r="Y48" s="44"/>
      <c r="Z48" s="44"/>
      <c r="AA48" s="41"/>
      <c r="AB48" s="45"/>
      <c r="AC48" s="45"/>
      <c r="AD48" s="45"/>
      <c r="AE48" s="45"/>
      <c r="AF48" s="45"/>
      <c r="AG48" s="45"/>
      <c r="AH48" s="45"/>
    </row>
    <row r="49" ht="18.0" customHeight="1">
      <c r="A49" s="20"/>
      <c r="B49" s="20"/>
      <c r="C49" s="20"/>
      <c r="D49" s="20"/>
      <c r="E49" s="20"/>
      <c r="F49" s="20"/>
      <c r="G49" s="20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0"/>
      <c r="S49" s="20"/>
      <c r="T49" s="20"/>
      <c r="U49" s="20"/>
      <c r="V49" s="22"/>
      <c r="W49" s="22"/>
      <c r="X49" s="20"/>
      <c r="Y49" s="23"/>
      <c r="Z49" s="23"/>
      <c r="AA49" s="20"/>
      <c r="AB49" s="24"/>
      <c r="AC49" s="24"/>
      <c r="AD49" s="24"/>
      <c r="AE49" s="24"/>
      <c r="AF49" s="24"/>
      <c r="AG49" s="24"/>
      <c r="AH49" s="24"/>
    </row>
    <row r="50" ht="30.0" customHeight="1">
      <c r="A50" s="48" t="s">
        <v>182</v>
      </c>
      <c r="B50" s="49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3"/>
      <c r="AC50" s="53"/>
      <c r="AD50" s="53"/>
      <c r="AE50" s="53"/>
      <c r="AF50" s="53"/>
      <c r="AG50" s="53"/>
      <c r="AH50" s="53"/>
    </row>
    <row r="51" ht="32.25" customHeight="1">
      <c r="A51" s="15"/>
      <c r="B51" s="15" t="s">
        <v>60</v>
      </c>
      <c r="C51" s="15" t="s">
        <v>182</v>
      </c>
      <c r="D51" s="15" t="s">
        <v>183</v>
      </c>
      <c r="E51" s="15"/>
      <c r="F51" s="15" t="s">
        <v>51</v>
      </c>
      <c r="G51" s="15" t="s">
        <v>39</v>
      </c>
      <c r="H51" s="16"/>
      <c r="I51" s="16"/>
      <c r="J51" s="16"/>
      <c r="K51" s="16"/>
      <c r="L51" s="32"/>
      <c r="M51" s="16"/>
      <c r="N51" s="16"/>
      <c r="O51" s="16"/>
      <c r="P51" s="16"/>
      <c r="Q51" s="16"/>
      <c r="R51" s="15"/>
      <c r="S51" s="15"/>
      <c r="T51" s="15"/>
      <c r="U51" s="15"/>
      <c r="V51" s="17"/>
      <c r="W51" s="17"/>
      <c r="X51" s="15"/>
      <c r="Y51" s="18"/>
      <c r="Z51" s="18"/>
      <c r="AA51" s="15"/>
      <c r="AB51" s="19"/>
      <c r="AC51" s="19"/>
      <c r="AD51" s="19"/>
      <c r="AE51" s="19"/>
      <c r="AF51" s="19"/>
      <c r="AG51" s="19"/>
      <c r="AH51" s="19"/>
    </row>
    <row r="52" ht="18.0" customHeight="1">
      <c r="A52" s="20"/>
      <c r="B52" s="20"/>
      <c r="C52" s="20"/>
      <c r="D52" s="20"/>
      <c r="E52" s="20"/>
      <c r="F52" s="20"/>
      <c r="G52" s="20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0"/>
      <c r="S52" s="20"/>
      <c r="T52" s="20"/>
      <c r="U52" s="20"/>
      <c r="V52" s="22"/>
      <c r="W52" s="22"/>
      <c r="X52" s="20"/>
      <c r="Y52" s="23"/>
      <c r="Z52" s="23"/>
      <c r="AA52" s="20"/>
      <c r="AB52" s="24"/>
      <c r="AC52" s="24"/>
      <c r="AD52" s="24"/>
      <c r="AE52" s="24"/>
      <c r="AF52" s="24"/>
      <c r="AG52" s="24"/>
      <c r="AH52" s="24"/>
    </row>
    <row r="53" ht="39.75" customHeight="1">
      <c r="A53" s="41" t="s">
        <v>184</v>
      </c>
      <c r="B53" s="41" t="s">
        <v>35</v>
      </c>
      <c r="C53" s="41" t="s">
        <v>182</v>
      </c>
      <c r="D53" s="41" t="s">
        <v>185</v>
      </c>
      <c r="E53" s="41" t="s">
        <v>186</v>
      </c>
      <c r="F53" s="41" t="s">
        <v>51</v>
      </c>
      <c r="G53" s="41" t="s">
        <v>39</v>
      </c>
      <c r="H53" s="42">
        <v>46234.0</v>
      </c>
      <c r="I53" s="42"/>
      <c r="J53" s="42"/>
      <c r="K53" s="42"/>
      <c r="L53" s="32"/>
      <c r="M53" s="42"/>
      <c r="N53" s="42"/>
      <c r="O53" s="42"/>
      <c r="P53" s="42"/>
      <c r="Q53" s="42">
        <v>46237.0</v>
      </c>
      <c r="R53" s="41" t="s">
        <v>64</v>
      </c>
      <c r="S53" s="41" t="s">
        <v>187</v>
      </c>
      <c r="T53" s="41" t="s">
        <v>41</v>
      </c>
      <c r="U53" s="41" t="s">
        <v>188</v>
      </c>
      <c r="V53" s="43"/>
      <c r="W53" s="43"/>
      <c r="X53" s="41"/>
      <c r="Y53" s="44"/>
      <c r="Z53" s="44"/>
      <c r="AA53" s="41"/>
      <c r="AB53" s="45"/>
      <c r="AC53" s="45"/>
      <c r="AD53" s="45"/>
      <c r="AE53" s="45"/>
      <c r="AF53" s="45"/>
      <c r="AG53" s="45"/>
      <c r="AH53" s="45"/>
    </row>
    <row r="54" ht="39.75" customHeight="1">
      <c r="A54" s="41" t="s">
        <v>189</v>
      </c>
      <c r="B54" s="41" t="s">
        <v>35</v>
      </c>
      <c r="C54" s="41" t="s">
        <v>182</v>
      </c>
      <c r="D54" s="41" t="s">
        <v>190</v>
      </c>
      <c r="E54" s="41" t="s">
        <v>191</v>
      </c>
      <c r="F54" s="41" t="s">
        <v>51</v>
      </c>
      <c r="G54" s="41" t="s">
        <v>63</v>
      </c>
      <c r="H54" s="42">
        <v>46237.0</v>
      </c>
      <c r="I54" s="42"/>
      <c r="J54" s="42"/>
      <c r="K54" s="42"/>
      <c r="L54" s="32"/>
      <c r="M54" s="42"/>
      <c r="N54" s="42"/>
      <c r="O54" s="42"/>
      <c r="P54" s="42"/>
      <c r="Q54" s="42">
        <v>46240.0</v>
      </c>
      <c r="R54" s="41" t="s">
        <v>64</v>
      </c>
      <c r="S54" s="41" t="s">
        <v>192</v>
      </c>
      <c r="T54" s="41" t="s">
        <v>41</v>
      </c>
      <c r="U54" s="41" t="s">
        <v>96</v>
      </c>
      <c r="V54" s="43"/>
      <c r="W54" s="43"/>
      <c r="X54" s="41"/>
      <c r="Y54" s="44"/>
      <c r="Z54" s="44"/>
      <c r="AA54" s="41"/>
      <c r="AB54" s="45"/>
      <c r="AC54" s="45"/>
      <c r="AD54" s="45"/>
      <c r="AE54" s="45"/>
      <c r="AF54" s="45"/>
      <c r="AG54" s="45"/>
      <c r="AH54" s="45"/>
    </row>
    <row r="55" ht="39.75" customHeight="1">
      <c r="A55" s="41" t="s">
        <v>193</v>
      </c>
      <c r="B55" s="41" t="s">
        <v>35</v>
      </c>
      <c r="C55" s="41" t="s">
        <v>182</v>
      </c>
      <c r="D55" s="41" t="s">
        <v>194</v>
      </c>
      <c r="E55" s="41" t="s">
        <v>195</v>
      </c>
      <c r="F55" s="41" t="s">
        <v>51</v>
      </c>
      <c r="G55" s="41" t="s">
        <v>63</v>
      </c>
      <c r="H55" s="42">
        <v>46235.0</v>
      </c>
      <c r="I55" s="42"/>
      <c r="J55" s="42"/>
      <c r="K55" s="42"/>
      <c r="L55" s="32"/>
      <c r="M55" s="42"/>
      <c r="N55" s="42"/>
      <c r="O55" s="42"/>
      <c r="P55" s="42"/>
      <c r="Q55" s="42">
        <v>46241.0</v>
      </c>
      <c r="R55" s="41" t="s">
        <v>64</v>
      </c>
      <c r="S55" s="41" t="s">
        <v>196</v>
      </c>
      <c r="T55" s="41" t="s">
        <v>41</v>
      </c>
      <c r="U55" s="41" t="s">
        <v>105</v>
      </c>
      <c r="V55" s="43"/>
      <c r="W55" s="43"/>
      <c r="X55" s="41"/>
      <c r="Y55" s="44"/>
      <c r="Z55" s="44"/>
      <c r="AA55" s="41"/>
      <c r="AB55" s="45"/>
      <c r="AC55" s="45"/>
      <c r="AD55" s="45"/>
      <c r="AE55" s="45"/>
      <c r="AF55" s="45"/>
      <c r="AG55" s="45"/>
      <c r="AH55" s="45"/>
    </row>
    <row r="56" ht="39.75" customHeight="1">
      <c r="A56" s="41" t="s">
        <v>197</v>
      </c>
      <c r="B56" s="41" t="s">
        <v>35</v>
      </c>
      <c r="C56" s="41" t="s">
        <v>182</v>
      </c>
      <c r="D56" s="41" t="s">
        <v>198</v>
      </c>
      <c r="E56" s="41" t="s">
        <v>199</v>
      </c>
      <c r="F56" s="41" t="s">
        <v>38</v>
      </c>
      <c r="G56" s="41" t="s">
        <v>63</v>
      </c>
      <c r="H56" s="42">
        <v>46241.0</v>
      </c>
      <c r="I56" s="42"/>
      <c r="J56" s="42"/>
      <c r="K56" s="42"/>
      <c r="L56" s="32"/>
      <c r="M56" s="42"/>
      <c r="N56" s="42"/>
      <c r="O56" s="42"/>
      <c r="P56" s="42"/>
      <c r="Q56" s="42">
        <v>46246.0</v>
      </c>
      <c r="R56" s="41" t="s">
        <v>64</v>
      </c>
      <c r="S56" s="41" t="s">
        <v>200</v>
      </c>
      <c r="T56" s="41" t="s">
        <v>41</v>
      </c>
      <c r="U56" s="41" t="s">
        <v>96</v>
      </c>
      <c r="V56" s="43"/>
      <c r="W56" s="43"/>
      <c r="X56" s="41"/>
      <c r="Y56" s="44"/>
      <c r="Z56" s="44"/>
      <c r="AA56" s="41"/>
      <c r="AB56" s="45"/>
      <c r="AC56" s="45"/>
      <c r="AD56" s="45"/>
      <c r="AE56" s="45"/>
      <c r="AF56" s="45"/>
      <c r="AG56" s="45"/>
      <c r="AH56" s="45"/>
    </row>
    <row r="57" ht="39.75" customHeight="1">
      <c r="A57" s="41" t="s">
        <v>201</v>
      </c>
      <c r="B57" s="41" t="s">
        <v>35</v>
      </c>
      <c r="C57" s="41" t="s">
        <v>182</v>
      </c>
      <c r="D57" s="41" t="s">
        <v>202</v>
      </c>
      <c r="E57" s="41" t="s">
        <v>203</v>
      </c>
      <c r="F57" s="41" t="s">
        <v>172</v>
      </c>
      <c r="G57" s="41" t="s">
        <v>39</v>
      </c>
      <c r="H57" s="42">
        <v>46241.0</v>
      </c>
      <c r="I57" s="42"/>
      <c r="J57" s="42"/>
      <c r="K57" s="42"/>
      <c r="L57" s="32"/>
      <c r="M57" s="42"/>
      <c r="N57" s="42"/>
      <c r="O57" s="42"/>
      <c r="P57" s="42"/>
      <c r="Q57" s="42">
        <v>46243.0</v>
      </c>
      <c r="R57" s="41" t="s">
        <v>64</v>
      </c>
      <c r="S57" s="41" t="s">
        <v>204</v>
      </c>
      <c r="T57" s="41" t="s">
        <v>41</v>
      </c>
      <c r="U57" s="41" t="s">
        <v>42</v>
      </c>
      <c r="V57" s="43"/>
      <c r="W57" s="43"/>
      <c r="X57" s="41"/>
      <c r="Y57" s="44"/>
      <c r="Z57" s="44"/>
      <c r="AA57" s="41"/>
      <c r="AB57" s="45"/>
      <c r="AC57" s="45"/>
      <c r="AD57" s="45"/>
      <c r="AE57" s="45"/>
      <c r="AF57" s="45"/>
      <c r="AG57" s="45"/>
      <c r="AH57" s="45"/>
    </row>
    <row r="58" ht="39.75" customHeight="1">
      <c r="A58" s="41" t="s">
        <v>205</v>
      </c>
      <c r="B58" s="41" t="s">
        <v>35</v>
      </c>
      <c r="C58" s="41" t="s">
        <v>182</v>
      </c>
      <c r="D58" s="41" t="s">
        <v>206</v>
      </c>
      <c r="E58" s="41" t="s">
        <v>207</v>
      </c>
      <c r="F58" s="41" t="s">
        <v>172</v>
      </c>
      <c r="G58" s="41" t="s">
        <v>39</v>
      </c>
      <c r="H58" s="42">
        <v>46241.0</v>
      </c>
      <c r="I58" s="42"/>
      <c r="J58" s="42"/>
      <c r="K58" s="42"/>
      <c r="L58" s="32"/>
      <c r="M58" s="42"/>
      <c r="N58" s="42"/>
      <c r="O58" s="42"/>
      <c r="P58" s="42"/>
      <c r="Q58" s="42">
        <v>46250.0</v>
      </c>
      <c r="R58" s="41" t="s">
        <v>64</v>
      </c>
      <c r="S58" s="41" t="s">
        <v>208</v>
      </c>
      <c r="T58" s="41" t="s">
        <v>41</v>
      </c>
      <c r="U58" s="41" t="s">
        <v>209</v>
      </c>
      <c r="V58" s="43"/>
      <c r="W58" s="43"/>
      <c r="X58" s="41"/>
      <c r="Y58" s="44"/>
      <c r="Z58" s="44"/>
      <c r="AA58" s="41"/>
      <c r="AB58" s="45"/>
      <c r="AC58" s="45"/>
      <c r="AD58" s="45"/>
      <c r="AE58" s="45"/>
      <c r="AF58" s="45"/>
      <c r="AG58" s="45"/>
      <c r="AH58" s="45"/>
    </row>
    <row r="59" ht="17.25" customHeight="1">
      <c r="A59" s="36"/>
      <c r="B59" s="36"/>
      <c r="C59" s="36"/>
      <c r="D59" s="36"/>
      <c r="E59" s="36"/>
      <c r="F59" s="36"/>
      <c r="G59" s="36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6"/>
      <c r="S59" s="36"/>
      <c r="T59" s="36"/>
      <c r="U59" s="36"/>
      <c r="V59" s="38"/>
      <c r="W59" s="38"/>
      <c r="X59" s="36"/>
      <c r="Y59" s="39"/>
      <c r="Z59" s="39"/>
      <c r="AA59" s="36"/>
      <c r="AB59" s="40"/>
      <c r="AC59" s="40"/>
      <c r="AD59" s="40"/>
      <c r="AE59" s="40"/>
      <c r="AF59" s="40"/>
      <c r="AG59" s="40"/>
      <c r="AH59" s="40"/>
    </row>
    <row r="60" ht="30.0" customHeight="1">
      <c r="A60" s="48" t="s">
        <v>210</v>
      </c>
      <c r="B60" s="49"/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3"/>
      <c r="AC60" s="53"/>
      <c r="AD60" s="53"/>
      <c r="AE60" s="53"/>
      <c r="AF60" s="53"/>
      <c r="AG60" s="53"/>
      <c r="AH60" s="53"/>
    </row>
    <row r="61" ht="32.25" customHeight="1">
      <c r="A61" s="15" t="s">
        <v>211</v>
      </c>
      <c r="B61" s="15" t="s">
        <v>60</v>
      </c>
      <c r="C61" s="15" t="s">
        <v>210</v>
      </c>
      <c r="D61" s="15" t="s">
        <v>212</v>
      </c>
      <c r="E61" s="15" t="s">
        <v>149</v>
      </c>
      <c r="F61" s="15" t="s">
        <v>51</v>
      </c>
      <c r="G61" s="15" t="s">
        <v>167</v>
      </c>
      <c r="H61" s="16"/>
      <c r="I61" s="16"/>
      <c r="J61" s="16"/>
      <c r="K61" s="16"/>
      <c r="L61" s="16"/>
      <c r="M61" s="16"/>
      <c r="N61" s="16"/>
      <c r="O61" s="16"/>
      <c r="P61" s="16"/>
      <c r="Q61" s="16">
        <v>46244.0</v>
      </c>
      <c r="R61" s="15" t="s">
        <v>64</v>
      </c>
      <c r="S61" s="15" t="s">
        <v>65</v>
      </c>
      <c r="T61" s="15" t="s">
        <v>41</v>
      </c>
      <c r="U61" s="15" t="s">
        <v>213</v>
      </c>
      <c r="V61" s="17"/>
      <c r="W61" s="17"/>
      <c r="X61" s="15"/>
      <c r="Y61" s="18"/>
      <c r="Z61" s="18"/>
      <c r="AA61" s="15"/>
      <c r="AB61" s="19"/>
      <c r="AC61" s="19"/>
      <c r="AD61" s="19"/>
      <c r="AE61" s="19"/>
      <c r="AF61" s="19"/>
      <c r="AG61" s="19"/>
      <c r="AH61" s="19"/>
    </row>
    <row r="62" ht="19.5" customHeight="1">
      <c r="A62" s="20"/>
      <c r="B62" s="20"/>
      <c r="C62" s="20"/>
      <c r="D62" s="20"/>
      <c r="E62" s="20"/>
      <c r="F62" s="20"/>
      <c r="G62" s="20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0"/>
      <c r="S62" s="20"/>
      <c r="T62" s="20"/>
      <c r="U62" s="20"/>
      <c r="V62" s="22"/>
      <c r="W62" s="22"/>
      <c r="X62" s="20"/>
      <c r="Y62" s="23"/>
      <c r="Z62" s="23"/>
      <c r="AA62" s="20"/>
      <c r="AB62" s="24"/>
      <c r="AC62" s="24"/>
      <c r="AD62" s="24"/>
      <c r="AE62" s="24"/>
      <c r="AF62" s="24"/>
      <c r="AG62" s="24"/>
      <c r="AH62" s="24"/>
    </row>
    <row r="63" ht="39.75" customHeight="1">
      <c r="A63" s="41" t="s">
        <v>214</v>
      </c>
      <c r="B63" s="41" t="s">
        <v>35</v>
      </c>
      <c r="C63" s="41" t="s">
        <v>210</v>
      </c>
      <c r="D63" s="41" t="s">
        <v>215</v>
      </c>
      <c r="E63" s="41" t="s">
        <v>216</v>
      </c>
      <c r="F63" s="41" t="s">
        <v>51</v>
      </c>
      <c r="G63" s="41" t="s">
        <v>63</v>
      </c>
      <c r="H63" s="42">
        <v>46237.0</v>
      </c>
      <c r="I63" s="42"/>
      <c r="J63" s="42"/>
      <c r="K63" s="42"/>
      <c r="L63" s="42"/>
      <c r="M63" s="42"/>
      <c r="N63" s="42"/>
      <c r="O63" s="42"/>
      <c r="P63" s="42"/>
      <c r="Q63" s="42">
        <v>46242.0</v>
      </c>
      <c r="R63" s="41" t="s">
        <v>64</v>
      </c>
      <c r="S63" s="41" t="s">
        <v>217</v>
      </c>
      <c r="T63" s="41" t="s">
        <v>41</v>
      </c>
      <c r="U63" s="41" t="s">
        <v>218</v>
      </c>
      <c r="V63" s="43"/>
      <c r="W63" s="43"/>
      <c r="X63" s="41"/>
      <c r="Y63" s="44"/>
      <c r="Z63" s="44"/>
      <c r="AA63" s="41"/>
      <c r="AB63" s="45"/>
      <c r="AC63" s="45"/>
      <c r="AD63" s="45"/>
      <c r="AE63" s="45"/>
      <c r="AF63" s="45"/>
      <c r="AG63" s="45"/>
      <c r="AH63" s="45"/>
    </row>
    <row r="64" ht="39.75" customHeight="1">
      <c r="A64" s="41" t="s">
        <v>219</v>
      </c>
      <c r="B64" s="41" t="s">
        <v>35</v>
      </c>
      <c r="C64" s="41" t="s">
        <v>210</v>
      </c>
      <c r="D64" s="41" t="s">
        <v>220</v>
      </c>
      <c r="E64" s="41" t="s">
        <v>221</v>
      </c>
      <c r="F64" s="41" t="s">
        <v>51</v>
      </c>
      <c r="G64" s="41" t="s">
        <v>78</v>
      </c>
      <c r="H64" s="42">
        <v>46239.0</v>
      </c>
      <c r="I64" s="42"/>
      <c r="J64" s="42"/>
      <c r="K64" s="42"/>
      <c r="L64" s="42"/>
      <c r="M64" s="42"/>
      <c r="N64" s="42"/>
      <c r="O64" s="42"/>
      <c r="P64" s="42"/>
      <c r="Q64" s="42">
        <v>46250.0</v>
      </c>
      <c r="R64" s="41" t="s">
        <v>64</v>
      </c>
      <c r="S64" s="41" t="s">
        <v>222</v>
      </c>
      <c r="T64" s="41" t="s">
        <v>41</v>
      </c>
      <c r="U64" s="41" t="s">
        <v>96</v>
      </c>
      <c r="V64" s="43"/>
      <c r="W64" s="43"/>
      <c r="X64" s="41"/>
      <c r="Y64" s="44"/>
      <c r="Z64" s="44"/>
      <c r="AA64" s="41"/>
      <c r="AB64" s="45"/>
      <c r="AC64" s="45"/>
      <c r="AD64" s="45"/>
      <c r="AE64" s="45"/>
      <c r="AF64" s="45"/>
      <c r="AG64" s="45"/>
      <c r="AH64" s="45"/>
    </row>
    <row r="65" ht="39.75" customHeight="1">
      <c r="A65" s="41" t="s">
        <v>223</v>
      </c>
      <c r="B65" s="41" t="s">
        <v>35</v>
      </c>
      <c r="C65" s="41" t="s">
        <v>210</v>
      </c>
      <c r="D65" s="41" t="s">
        <v>224</v>
      </c>
      <c r="E65" s="41" t="s">
        <v>225</v>
      </c>
      <c r="F65" s="41" t="s">
        <v>51</v>
      </c>
      <c r="G65" s="41" t="s">
        <v>167</v>
      </c>
      <c r="H65" s="42">
        <v>46241.0</v>
      </c>
      <c r="I65" s="42"/>
      <c r="J65" s="42"/>
      <c r="K65" s="42"/>
      <c r="L65" s="42"/>
      <c r="M65" s="42"/>
      <c r="N65" s="42"/>
      <c r="O65" s="42"/>
      <c r="P65" s="42"/>
      <c r="Q65" s="42">
        <v>46250.0</v>
      </c>
      <c r="R65" s="41" t="s">
        <v>64</v>
      </c>
      <c r="S65" s="41" t="s">
        <v>226</v>
      </c>
      <c r="T65" s="41" t="s">
        <v>41</v>
      </c>
      <c r="U65" s="41" t="s">
        <v>135</v>
      </c>
      <c r="V65" s="43"/>
      <c r="W65" s="43"/>
      <c r="X65" s="41"/>
      <c r="Y65" s="44"/>
      <c r="Z65" s="44"/>
      <c r="AA65" s="41"/>
      <c r="AB65" s="45"/>
      <c r="AC65" s="45"/>
      <c r="AD65" s="45"/>
      <c r="AE65" s="45"/>
      <c r="AF65" s="45"/>
      <c r="AG65" s="45"/>
      <c r="AH65" s="45"/>
    </row>
    <row r="66" ht="39.75" customHeight="1">
      <c r="A66" s="41" t="s">
        <v>227</v>
      </c>
      <c r="B66" s="41" t="s">
        <v>35</v>
      </c>
      <c r="C66" s="41" t="s">
        <v>210</v>
      </c>
      <c r="D66" s="41" t="s">
        <v>228</v>
      </c>
      <c r="E66" s="41" t="s">
        <v>229</v>
      </c>
      <c r="F66" s="41" t="s">
        <v>172</v>
      </c>
      <c r="G66" s="41" t="s">
        <v>78</v>
      </c>
      <c r="H66" s="42">
        <v>46241.0</v>
      </c>
      <c r="I66" s="42"/>
      <c r="J66" s="42"/>
      <c r="K66" s="42"/>
      <c r="L66" s="42"/>
      <c r="M66" s="42"/>
      <c r="N66" s="42"/>
      <c r="O66" s="42"/>
      <c r="P66" s="42"/>
      <c r="Q66" s="42">
        <v>46250.0</v>
      </c>
      <c r="R66" s="41" t="s">
        <v>64</v>
      </c>
      <c r="S66" s="41" t="s">
        <v>230</v>
      </c>
      <c r="T66" s="41" t="s">
        <v>41</v>
      </c>
      <c r="U66" s="41" t="s">
        <v>96</v>
      </c>
      <c r="V66" s="43"/>
      <c r="W66" s="43"/>
      <c r="X66" s="41"/>
      <c r="Y66" s="44"/>
      <c r="Z66" s="44"/>
      <c r="AA66" s="41"/>
      <c r="AB66" s="45"/>
      <c r="AC66" s="45"/>
      <c r="AD66" s="45"/>
      <c r="AE66" s="45"/>
      <c r="AF66" s="45"/>
      <c r="AG66" s="45"/>
      <c r="AH66" s="45"/>
    </row>
    <row r="67" ht="39.75" customHeight="1">
      <c r="A67" s="41" t="s">
        <v>231</v>
      </c>
      <c r="B67" s="41" t="s">
        <v>35</v>
      </c>
      <c r="C67" s="41" t="s">
        <v>210</v>
      </c>
      <c r="D67" s="41" t="s">
        <v>232</v>
      </c>
      <c r="E67" s="41" t="s">
        <v>233</v>
      </c>
      <c r="F67" s="41" t="s">
        <v>51</v>
      </c>
      <c r="G67" s="41" t="s">
        <v>39</v>
      </c>
      <c r="H67" s="32"/>
      <c r="I67" s="32"/>
      <c r="J67" s="42"/>
      <c r="K67" s="42"/>
      <c r="L67" s="42"/>
      <c r="M67" s="42"/>
      <c r="N67" s="42"/>
      <c r="O67" s="42"/>
      <c r="P67" s="42"/>
      <c r="Q67" s="42">
        <v>46250.0</v>
      </c>
      <c r="R67" s="41" t="s">
        <v>64</v>
      </c>
      <c r="S67" s="41" t="s">
        <v>230</v>
      </c>
      <c r="T67" s="41" t="s">
        <v>41</v>
      </c>
      <c r="U67" s="41" t="s">
        <v>96</v>
      </c>
      <c r="V67" s="43"/>
      <c r="W67" s="43"/>
      <c r="X67" s="41"/>
      <c r="Y67" s="44"/>
      <c r="Z67" s="44"/>
      <c r="AA67" s="41"/>
      <c r="AB67" s="45"/>
      <c r="AC67" s="45"/>
      <c r="AD67" s="45"/>
      <c r="AE67" s="45"/>
      <c r="AF67" s="45"/>
      <c r="AG67" s="45"/>
      <c r="AH67" s="45"/>
    </row>
    <row r="68" ht="21.0" customHeight="1">
      <c r="A68" s="20"/>
      <c r="B68" s="20"/>
      <c r="C68" s="20"/>
      <c r="D68" s="20"/>
      <c r="E68" s="20"/>
      <c r="F68" s="20"/>
      <c r="G68" s="20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0"/>
      <c r="S68" s="20"/>
      <c r="T68" s="20"/>
      <c r="U68" s="20"/>
      <c r="V68" s="22"/>
      <c r="W68" s="22"/>
      <c r="X68" s="20"/>
      <c r="Y68" s="23"/>
      <c r="Z68" s="23"/>
      <c r="AA68" s="20"/>
      <c r="AB68" s="24"/>
      <c r="AC68" s="24"/>
      <c r="AD68" s="24"/>
      <c r="AE68" s="24"/>
      <c r="AF68" s="24"/>
      <c r="AG68" s="24"/>
      <c r="AH68" s="24"/>
    </row>
    <row r="69" ht="30.0" customHeight="1">
      <c r="A69" s="48" t="s">
        <v>234</v>
      </c>
      <c r="B69" s="47"/>
      <c r="C69" s="26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3"/>
      <c r="AC69" s="53"/>
      <c r="AD69" s="53"/>
      <c r="AE69" s="53"/>
      <c r="AF69" s="53"/>
      <c r="AG69" s="53"/>
      <c r="AH69" s="53"/>
    </row>
    <row r="70" ht="31.5" customHeight="1">
      <c r="A70" s="54" t="s">
        <v>235</v>
      </c>
      <c r="B70" s="54" t="s">
        <v>60</v>
      </c>
      <c r="C70" s="54" t="s">
        <v>236</v>
      </c>
      <c r="D70" s="54" t="s">
        <v>237</v>
      </c>
      <c r="E70" s="54" t="s">
        <v>238</v>
      </c>
      <c r="F70" s="54" t="s">
        <v>239</v>
      </c>
      <c r="G70" s="54" t="s">
        <v>39</v>
      </c>
      <c r="H70" s="55"/>
      <c r="I70" s="55"/>
      <c r="J70" s="55"/>
      <c r="K70" s="55"/>
      <c r="L70" s="55"/>
      <c r="M70" s="55"/>
      <c r="N70" s="55"/>
      <c r="O70" s="55"/>
      <c r="P70" s="55"/>
      <c r="Q70" s="55">
        <v>46241.0</v>
      </c>
      <c r="R70" s="54" t="s">
        <v>64</v>
      </c>
      <c r="S70" s="54" t="s">
        <v>65</v>
      </c>
      <c r="T70" s="54" t="s">
        <v>41</v>
      </c>
      <c r="U70" s="54">
        <v>1.0</v>
      </c>
      <c r="V70" s="56"/>
      <c r="W70" s="56"/>
      <c r="X70" s="54"/>
      <c r="Y70" s="57"/>
      <c r="Z70" s="57"/>
      <c r="AA70" s="54" t="s">
        <v>240</v>
      </c>
      <c r="AB70" s="58"/>
      <c r="AC70" s="58"/>
      <c r="AD70" s="58"/>
      <c r="AE70" s="58"/>
      <c r="AF70" s="58"/>
      <c r="AG70" s="58"/>
      <c r="AH70" s="58"/>
    </row>
    <row r="71" ht="18.0" customHeight="1">
      <c r="A71" s="36"/>
      <c r="B71" s="36"/>
      <c r="C71" s="36"/>
      <c r="D71" s="36"/>
      <c r="E71" s="36"/>
      <c r="F71" s="36"/>
      <c r="G71" s="36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6"/>
      <c r="S71" s="36"/>
      <c r="T71" s="36"/>
      <c r="U71" s="36"/>
      <c r="V71" s="38"/>
      <c r="W71" s="38"/>
      <c r="X71" s="36"/>
      <c r="Y71" s="39"/>
      <c r="Z71" s="39"/>
      <c r="AA71" s="36"/>
      <c r="AB71" s="59"/>
      <c r="AC71" s="59"/>
      <c r="AD71" s="59"/>
      <c r="AE71" s="59"/>
      <c r="AF71" s="59"/>
      <c r="AG71" s="59"/>
      <c r="AH71" s="59"/>
    </row>
    <row r="72" ht="39.75" customHeight="1">
      <c r="A72" s="41" t="s">
        <v>241</v>
      </c>
      <c r="B72" s="41" t="s">
        <v>35</v>
      </c>
      <c r="C72" s="41" t="s">
        <v>234</v>
      </c>
      <c r="D72" s="41" t="s">
        <v>242</v>
      </c>
      <c r="E72" s="41" t="s">
        <v>243</v>
      </c>
      <c r="F72" s="41" t="s">
        <v>172</v>
      </c>
      <c r="G72" s="41" t="s">
        <v>39</v>
      </c>
      <c r="H72" s="42">
        <v>46235.0</v>
      </c>
      <c r="I72" s="42"/>
      <c r="J72" s="42"/>
      <c r="K72" s="42"/>
      <c r="L72" s="42"/>
      <c r="M72" s="42"/>
      <c r="N72" s="42"/>
      <c r="O72" s="42"/>
      <c r="P72" s="42"/>
      <c r="Q72" s="42">
        <v>46241.0</v>
      </c>
      <c r="R72" s="41" t="s">
        <v>64</v>
      </c>
      <c r="S72" s="41" t="s">
        <v>244</v>
      </c>
      <c r="T72" s="41" t="s">
        <v>41</v>
      </c>
      <c r="U72" s="41" t="s">
        <v>96</v>
      </c>
      <c r="V72" s="43"/>
      <c r="W72" s="43"/>
      <c r="X72" s="41"/>
      <c r="Y72" s="44"/>
      <c r="Z72" s="44"/>
      <c r="AA72" s="41"/>
      <c r="AB72" s="45"/>
      <c r="AC72" s="45"/>
      <c r="AD72" s="45"/>
      <c r="AE72" s="45"/>
      <c r="AF72" s="45"/>
      <c r="AG72" s="45"/>
      <c r="AH72" s="45"/>
    </row>
    <row r="73" ht="39.75" customHeight="1">
      <c r="A73" s="41" t="s">
        <v>245</v>
      </c>
      <c r="B73" s="41" t="s">
        <v>35</v>
      </c>
      <c r="C73" s="41" t="s">
        <v>234</v>
      </c>
      <c r="D73" s="41" t="s">
        <v>246</v>
      </c>
      <c r="E73" s="41" t="s">
        <v>247</v>
      </c>
      <c r="F73" s="41" t="s">
        <v>172</v>
      </c>
      <c r="G73" s="41" t="s">
        <v>167</v>
      </c>
      <c r="H73" s="42">
        <v>46242.0</v>
      </c>
      <c r="I73" s="42"/>
      <c r="J73" s="42"/>
      <c r="K73" s="42"/>
      <c r="L73" s="42"/>
      <c r="M73" s="42"/>
      <c r="N73" s="42"/>
      <c r="O73" s="42"/>
      <c r="P73" s="42"/>
      <c r="Q73" s="42">
        <v>46250.0</v>
      </c>
      <c r="R73" s="41" t="s">
        <v>64</v>
      </c>
      <c r="S73" s="41" t="s">
        <v>248</v>
      </c>
      <c r="T73" s="41" t="s">
        <v>41</v>
      </c>
      <c r="U73" s="41" t="s">
        <v>96</v>
      </c>
      <c r="V73" s="43"/>
      <c r="W73" s="43"/>
      <c r="X73" s="41"/>
      <c r="Y73" s="44"/>
      <c r="Z73" s="44"/>
      <c r="AA73" s="41"/>
      <c r="AB73" s="45"/>
      <c r="AC73" s="45"/>
      <c r="AD73" s="45"/>
      <c r="AE73" s="45"/>
      <c r="AF73" s="45"/>
      <c r="AG73" s="45"/>
      <c r="AH73" s="45"/>
    </row>
    <row r="74" ht="39.75" customHeight="1">
      <c r="A74" s="41" t="s">
        <v>249</v>
      </c>
      <c r="B74" s="41" t="s">
        <v>35</v>
      </c>
      <c r="C74" s="41" t="s">
        <v>234</v>
      </c>
      <c r="D74" s="41" t="s">
        <v>250</v>
      </c>
      <c r="E74" s="41" t="s">
        <v>251</v>
      </c>
      <c r="F74" s="41" t="s">
        <v>239</v>
      </c>
      <c r="G74" s="41" t="s">
        <v>63</v>
      </c>
      <c r="H74" s="42">
        <v>46239.0</v>
      </c>
      <c r="I74" s="42"/>
      <c r="J74" s="42"/>
      <c r="K74" s="42"/>
      <c r="L74" s="42"/>
      <c r="M74" s="42"/>
      <c r="N74" s="42"/>
      <c r="O74" s="42"/>
      <c r="P74" s="42"/>
      <c r="Q74" s="42">
        <v>46254.0</v>
      </c>
      <c r="R74" s="41" t="s">
        <v>64</v>
      </c>
      <c r="S74" s="41" t="s">
        <v>252</v>
      </c>
      <c r="T74" s="41" t="s">
        <v>41</v>
      </c>
      <c r="U74" s="41" t="s">
        <v>47</v>
      </c>
      <c r="V74" s="43"/>
      <c r="W74" s="43"/>
      <c r="X74" s="41"/>
      <c r="Y74" s="44"/>
      <c r="Z74" s="44"/>
      <c r="AA74" s="41"/>
      <c r="AB74" s="45"/>
      <c r="AC74" s="45"/>
      <c r="AD74" s="45"/>
      <c r="AE74" s="45"/>
      <c r="AF74" s="45"/>
      <c r="AG74" s="45"/>
      <c r="AH74" s="45"/>
    </row>
    <row r="75" ht="39.75" customHeight="1">
      <c r="A75" s="41" t="s">
        <v>253</v>
      </c>
      <c r="B75" s="41" t="s">
        <v>35</v>
      </c>
      <c r="C75" s="41" t="s">
        <v>234</v>
      </c>
      <c r="D75" s="41" t="s">
        <v>254</v>
      </c>
      <c r="E75" s="41" t="s">
        <v>255</v>
      </c>
      <c r="F75" s="41" t="s">
        <v>51</v>
      </c>
      <c r="G75" s="41" t="s">
        <v>78</v>
      </c>
      <c r="H75" s="42">
        <v>46235.0</v>
      </c>
      <c r="I75" s="42"/>
      <c r="J75" s="42"/>
      <c r="K75" s="42"/>
      <c r="L75" s="42"/>
      <c r="M75" s="42"/>
      <c r="N75" s="42"/>
      <c r="O75" s="42"/>
      <c r="P75" s="42"/>
      <c r="Q75" s="42">
        <v>46248.0</v>
      </c>
      <c r="R75" s="41" t="s">
        <v>64</v>
      </c>
      <c r="S75" s="41" t="s">
        <v>256</v>
      </c>
      <c r="T75" s="41" t="s">
        <v>41</v>
      </c>
      <c r="U75" s="41" t="s">
        <v>105</v>
      </c>
      <c r="V75" s="43"/>
      <c r="W75" s="43"/>
      <c r="X75" s="41"/>
      <c r="Y75" s="44"/>
      <c r="Z75" s="44"/>
      <c r="AA75" s="41"/>
      <c r="AB75" s="45"/>
      <c r="AC75" s="45"/>
      <c r="AD75" s="45"/>
      <c r="AE75" s="45"/>
      <c r="AF75" s="45"/>
      <c r="AG75" s="45"/>
      <c r="AH75" s="45"/>
    </row>
    <row r="76" ht="39.75" customHeight="1">
      <c r="A76" s="41"/>
      <c r="B76" s="60" t="s">
        <v>35</v>
      </c>
      <c r="C76" s="60" t="s">
        <v>257</v>
      </c>
      <c r="D76" s="60" t="s">
        <v>258</v>
      </c>
      <c r="E76" s="41"/>
      <c r="F76" s="60" t="s">
        <v>51</v>
      </c>
      <c r="G76" s="60" t="s">
        <v>78</v>
      </c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1"/>
      <c r="S76" s="41"/>
      <c r="T76" s="41"/>
      <c r="U76" s="41"/>
      <c r="V76" s="43"/>
      <c r="W76" s="43"/>
      <c r="X76" s="41"/>
      <c r="Y76" s="44"/>
      <c r="Z76" s="44"/>
      <c r="AA76" s="41"/>
      <c r="AB76" s="45"/>
      <c r="AC76" s="45"/>
      <c r="AD76" s="45"/>
      <c r="AE76" s="45"/>
      <c r="AF76" s="45"/>
      <c r="AG76" s="45"/>
      <c r="AH76" s="45"/>
    </row>
    <row r="77" ht="39.75" customHeight="1">
      <c r="A77" s="41"/>
      <c r="B77" s="60" t="s">
        <v>60</v>
      </c>
      <c r="C77" s="60" t="s">
        <v>257</v>
      </c>
      <c r="D77" s="60" t="s">
        <v>259</v>
      </c>
      <c r="E77" s="41"/>
      <c r="F77" s="60" t="s">
        <v>172</v>
      </c>
      <c r="G77" s="60" t="s">
        <v>63</v>
      </c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1"/>
      <c r="S77" s="41"/>
      <c r="T77" s="41"/>
      <c r="U77" s="41"/>
      <c r="V77" s="43"/>
      <c r="W77" s="43"/>
      <c r="X77" s="41"/>
      <c r="Y77" s="44"/>
      <c r="Z77" s="44"/>
      <c r="AA77" s="41"/>
      <c r="AB77" s="45"/>
      <c r="AC77" s="45"/>
      <c r="AD77" s="45"/>
      <c r="AE77" s="45"/>
      <c r="AF77" s="45"/>
      <c r="AG77" s="45"/>
      <c r="AH77" s="45"/>
    </row>
    <row r="78" ht="21.75" customHeight="1">
      <c r="A78" s="20"/>
      <c r="B78" s="20"/>
      <c r="C78" s="20"/>
      <c r="D78" s="20"/>
      <c r="E78" s="20"/>
      <c r="F78" s="20"/>
      <c r="G78" s="20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0"/>
      <c r="S78" s="20"/>
      <c r="T78" s="20"/>
      <c r="U78" s="20"/>
      <c r="V78" s="22"/>
      <c r="W78" s="22"/>
      <c r="X78" s="20"/>
      <c r="Y78" s="23"/>
      <c r="Z78" s="23"/>
      <c r="AA78" s="20"/>
      <c r="AB78" s="24"/>
      <c r="AC78" s="24"/>
      <c r="AD78" s="24"/>
      <c r="AE78" s="24"/>
      <c r="AF78" s="24"/>
      <c r="AG78" s="24"/>
      <c r="AH78" s="24"/>
    </row>
    <row r="79" ht="30.0" customHeight="1">
      <c r="A79" s="48" t="s">
        <v>260</v>
      </c>
      <c r="B79" s="47"/>
      <c r="C79" s="26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3"/>
      <c r="AC79" s="53"/>
      <c r="AD79" s="53"/>
      <c r="AE79" s="53"/>
      <c r="AF79" s="53"/>
      <c r="AG79" s="53"/>
      <c r="AH79" s="53"/>
    </row>
    <row r="80" ht="39.75" customHeight="1">
      <c r="A80" s="41"/>
      <c r="B80" s="60" t="s">
        <v>35</v>
      </c>
      <c r="C80" s="60" t="s">
        <v>260</v>
      </c>
      <c r="D80" s="60" t="s">
        <v>261</v>
      </c>
      <c r="E80" s="41"/>
      <c r="F80" s="41"/>
      <c r="G80" s="41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1"/>
      <c r="S80" s="41"/>
      <c r="T80" s="41"/>
      <c r="U80" s="41"/>
      <c r="V80" s="43"/>
      <c r="W80" s="43"/>
      <c r="X80" s="41"/>
      <c r="Y80" s="44"/>
      <c r="Z80" s="44"/>
      <c r="AA80" s="41"/>
      <c r="AB80" s="45"/>
      <c r="AC80" s="45"/>
      <c r="AD80" s="45"/>
      <c r="AE80" s="45"/>
      <c r="AF80" s="45"/>
      <c r="AG80" s="45"/>
      <c r="AH80" s="45"/>
    </row>
    <row r="81" ht="39.75" customHeight="1">
      <c r="A81" s="61"/>
      <c r="B81" s="62" t="s">
        <v>60</v>
      </c>
      <c r="C81" s="62" t="s">
        <v>260</v>
      </c>
      <c r="D81" s="62" t="s">
        <v>262</v>
      </c>
      <c r="E81" s="61"/>
      <c r="F81" s="61"/>
      <c r="G81" s="61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1"/>
      <c r="S81" s="61"/>
      <c r="T81" s="61"/>
      <c r="U81" s="61"/>
      <c r="V81" s="64"/>
      <c r="W81" s="64"/>
      <c r="X81" s="61"/>
      <c r="Y81" s="65"/>
      <c r="Z81" s="65"/>
      <c r="AA81" s="61"/>
      <c r="AB81" s="66"/>
      <c r="AC81" s="66"/>
      <c r="AD81" s="66"/>
      <c r="AE81" s="66"/>
      <c r="AF81" s="66"/>
      <c r="AG81" s="66"/>
      <c r="AH81" s="66"/>
    </row>
    <row r="82" ht="39.75" customHeight="1">
      <c r="A82" s="41"/>
      <c r="B82" s="60" t="s">
        <v>35</v>
      </c>
      <c r="C82" s="60" t="s">
        <v>260</v>
      </c>
      <c r="D82" s="60" t="s">
        <v>263</v>
      </c>
      <c r="E82" s="41"/>
      <c r="F82" s="41"/>
      <c r="G82" s="41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1"/>
      <c r="S82" s="41"/>
      <c r="T82" s="41"/>
      <c r="U82" s="41"/>
      <c r="V82" s="43"/>
      <c r="W82" s="43"/>
      <c r="X82" s="41"/>
      <c r="Y82" s="44"/>
      <c r="Z82" s="44"/>
      <c r="AA82" s="41"/>
      <c r="AB82" s="45"/>
      <c r="AC82" s="45"/>
      <c r="AD82" s="45"/>
      <c r="AE82" s="45"/>
      <c r="AF82" s="45"/>
      <c r="AG82" s="45"/>
      <c r="AH82" s="45"/>
    </row>
    <row r="83" ht="39.75" customHeight="1">
      <c r="A83" s="41"/>
      <c r="B83" s="60" t="s">
        <v>35</v>
      </c>
      <c r="C83" s="60" t="s">
        <v>260</v>
      </c>
      <c r="D83" s="60" t="s">
        <v>264</v>
      </c>
      <c r="E83" s="41"/>
      <c r="F83" s="41"/>
      <c r="G83" s="41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1"/>
      <c r="S83" s="41"/>
      <c r="T83" s="41"/>
      <c r="U83" s="41"/>
      <c r="V83" s="43"/>
      <c r="W83" s="43"/>
      <c r="X83" s="41"/>
      <c r="Y83" s="44"/>
      <c r="Z83" s="44"/>
      <c r="AA83" s="41"/>
      <c r="AB83" s="45"/>
      <c r="AC83" s="45"/>
      <c r="AD83" s="45"/>
      <c r="AE83" s="45"/>
      <c r="AF83" s="45"/>
      <c r="AG83" s="45"/>
      <c r="AH83" s="45"/>
    </row>
    <row r="84" ht="39.75" customHeight="1">
      <c r="A84" s="41"/>
      <c r="B84" s="60" t="s">
        <v>35</v>
      </c>
      <c r="C84" s="60" t="s">
        <v>260</v>
      </c>
      <c r="D84" s="60" t="s">
        <v>265</v>
      </c>
      <c r="E84" s="41"/>
      <c r="F84" s="41"/>
      <c r="G84" s="41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1"/>
      <c r="S84" s="41"/>
      <c r="T84" s="41"/>
      <c r="U84" s="41"/>
      <c r="V84" s="43"/>
      <c r="W84" s="43"/>
      <c r="X84" s="41"/>
      <c r="Y84" s="44"/>
      <c r="Z84" s="44"/>
      <c r="AA84" s="41"/>
      <c r="AB84" s="45"/>
      <c r="AC84" s="45"/>
      <c r="AD84" s="45"/>
      <c r="AE84" s="45"/>
      <c r="AF84" s="45"/>
      <c r="AG84" s="45"/>
      <c r="AH84" s="45"/>
    </row>
    <row r="85" ht="20.25" customHeight="1">
      <c r="A85" s="20"/>
      <c r="B85" s="20"/>
      <c r="C85" s="20"/>
      <c r="D85" s="20"/>
      <c r="E85" s="20"/>
      <c r="F85" s="20"/>
      <c r="G85" s="20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0"/>
      <c r="S85" s="20"/>
      <c r="T85" s="20"/>
      <c r="U85" s="20"/>
      <c r="V85" s="22"/>
      <c r="W85" s="22"/>
      <c r="X85" s="20"/>
      <c r="Y85" s="23"/>
      <c r="Z85" s="23"/>
      <c r="AA85" s="20"/>
      <c r="AB85" s="24"/>
      <c r="AC85" s="24"/>
      <c r="AD85" s="24"/>
      <c r="AE85" s="24"/>
      <c r="AF85" s="24"/>
      <c r="AG85" s="24"/>
      <c r="AH85" s="24"/>
    </row>
    <row r="86" ht="30.0" customHeight="1">
      <c r="A86" s="25" t="s">
        <v>266</v>
      </c>
      <c r="B86" s="49"/>
      <c r="C86" s="50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4"/>
      <c r="AC86" s="14"/>
      <c r="AD86" s="14"/>
      <c r="AE86" s="14"/>
      <c r="AF86" s="14"/>
      <c r="AG86" s="14"/>
      <c r="AH86" s="14"/>
    </row>
    <row r="87" ht="32.25" customHeight="1">
      <c r="A87" s="41"/>
      <c r="B87" s="60" t="s">
        <v>60</v>
      </c>
      <c r="C87" s="60" t="s">
        <v>266</v>
      </c>
      <c r="D87" s="60" t="s">
        <v>267</v>
      </c>
      <c r="E87" s="41"/>
      <c r="F87" s="60" t="s">
        <v>51</v>
      </c>
      <c r="G87" s="60" t="s">
        <v>63</v>
      </c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1"/>
      <c r="S87" s="41"/>
      <c r="T87" s="41"/>
      <c r="U87" s="41"/>
      <c r="V87" s="43"/>
      <c r="W87" s="43"/>
      <c r="X87" s="41"/>
      <c r="Y87" s="44"/>
      <c r="Z87" s="44"/>
      <c r="AA87" s="41"/>
      <c r="AB87" s="45"/>
      <c r="AC87" s="45"/>
      <c r="AD87" s="45"/>
      <c r="AE87" s="45"/>
      <c r="AF87" s="45"/>
      <c r="AG87" s="45"/>
      <c r="AH87" s="45"/>
    </row>
    <row r="88" ht="30.75" customHeight="1">
      <c r="A88" s="41"/>
      <c r="B88" s="60" t="s">
        <v>60</v>
      </c>
      <c r="C88" s="60" t="s">
        <v>266</v>
      </c>
      <c r="D88" s="60" t="s">
        <v>268</v>
      </c>
      <c r="E88" s="41"/>
      <c r="F88" s="60" t="s">
        <v>51</v>
      </c>
      <c r="G88" s="60" t="s">
        <v>63</v>
      </c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1"/>
      <c r="S88" s="41"/>
      <c r="T88" s="41"/>
      <c r="U88" s="41"/>
      <c r="V88" s="43"/>
      <c r="W88" s="43"/>
      <c r="X88" s="41"/>
      <c r="Y88" s="44"/>
      <c r="Z88" s="44"/>
      <c r="AA88" s="41"/>
      <c r="AB88" s="45"/>
      <c r="AC88" s="45"/>
      <c r="AD88" s="45"/>
      <c r="AE88" s="45"/>
      <c r="AF88" s="45"/>
      <c r="AG88" s="45"/>
      <c r="AH88" s="45"/>
    </row>
    <row r="89" ht="35.25" customHeight="1">
      <c r="A89" s="41"/>
      <c r="B89" s="60" t="s">
        <v>60</v>
      </c>
      <c r="C89" s="60" t="s">
        <v>266</v>
      </c>
      <c r="D89" s="60" t="s">
        <v>269</v>
      </c>
      <c r="E89" s="41"/>
      <c r="F89" s="41"/>
      <c r="G89" s="41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1"/>
      <c r="S89" s="41"/>
      <c r="T89" s="41"/>
      <c r="U89" s="41"/>
      <c r="V89" s="43"/>
      <c r="W89" s="43"/>
      <c r="X89" s="41"/>
      <c r="Y89" s="44"/>
      <c r="Z89" s="44"/>
      <c r="AA89" s="41"/>
      <c r="AB89" s="45"/>
      <c r="AC89" s="45"/>
      <c r="AD89" s="45"/>
      <c r="AE89" s="45"/>
      <c r="AF89" s="45"/>
      <c r="AG89" s="45"/>
      <c r="AH89" s="45"/>
    </row>
    <row r="90" ht="34.5" customHeight="1">
      <c r="A90" s="20"/>
      <c r="B90" s="20"/>
      <c r="C90" s="20"/>
      <c r="D90" s="20"/>
      <c r="E90" s="20"/>
      <c r="F90" s="20"/>
      <c r="G90" s="20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0"/>
      <c r="S90" s="20"/>
      <c r="T90" s="20"/>
      <c r="U90" s="20"/>
      <c r="V90" s="22"/>
      <c r="W90" s="22"/>
      <c r="X90" s="20"/>
      <c r="Y90" s="23"/>
      <c r="Z90" s="23"/>
      <c r="AA90" s="20"/>
      <c r="AB90" s="24"/>
      <c r="AC90" s="24"/>
      <c r="AD90" s="24"/>
      <c r="AE90" s="24"/>
      <c r="AF90" s="24"/>
      <c r="AG90" s="24"/>
      <c r="AH90" s="24"/>
    </row>
    <row r="91" ht="24.0" customHeight="1">
      <c r="A91" s="20"/>
      <c r="B91" s="20"/>
      <c r="C91" s="20"/>
      <c r="D91" s="20"/>
      <c r="E91" s="20"/>
      <c r="F91" s="20"/>
      <c r="G91" s="20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0"/>
      <c r="S91" s="20"/>
      <c r="T91" s="20"/>
      <c r="U91" s="20"/>
      <c r="V91" s="22"/>
      <c r="W91" s="22"/>
      <c r="X91" s="20"/>
      <c r="Y91" s="23"/>
      <c r="Z91" s="23"/>
      <c r="AA91" s="20"/>
      <c r="AB91" s="24"/>
      <c r="AC91" s="24"/>
      <c r="AD91" s="24"/>
      <c r="AE91" s="24"/>
      <c r="AF91" s="24"/>
      <c r="AG91" s="24"/>
      <c r="AH91" s="24"/>
    </row>
    <row r="92" ht="24.0" customHeight="1">
      <c r="A92" s="20"/>
      <c r="B92" s="20"/>
      <c r="C92" s="20"/>
      <c r="D92" s="20"/>
      <c r="E92" s="20"/>
      <c r="F92" s="20"/>
      <c r="G92" s="20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0"/>
      <c r="S92" s="20"/>
      <c r="T92" s="20"/>
      <c r="U92" s="20"/>
      <c r="V92" s="22"/>
      <c r="W92" s="22"/>
      <c r="X92" s="20"/>
      <c r="Y92" s="23"/>
      <c r="Z92" s="23"/>
      <c r="AA92" s="20"/>
      <c r="AB92" s="24"/>
      <c r="AC92" s="24"/>
      <c r="AD92" s="24"/>
      <c r="AE92" s="24"/>
      <c r="AF92" s="24"/>
      <c r="AG92" s="24"/>
      <c r="AH92" s="24"/>
    </row>
    <row r="93" ht="30.0" customHeight="1">
      <c r="A93" s="46" t="s">
        <v>270</v>
      </c>
      <c r="B93" s="47"/>
      <c r="C93" s="26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4"/>
      <c r="AC93" s="14"/>
      <c r="AD93" s="14"/>
      <c r="AE93" s="14"/>
      <c r="AF93" s="14"/>
      <c r="AG93" s="14"/>
      <c r="AH93" s="14"/>
    </row>
    <row r="94" ht="39.75" customHeight="1">
      <c r="A94" s="61" t="s">
        <v>271</v>
      </c>
      <c r="B94" s="61" t="s">
        <v>35</v>
      </c>
      <c r="C94" s="61" t="s">
        <v>270</v>
      </c>
      <c r="D94" s="61" t="s">
        <v>272</v>
      </c>
      <c r="E94" s="61" t="s">
        <v>273</v>
      </c>
      <c r="F94" s="61" t="s">
        <v>38</v>
      </c>
      <c r="G94" s="61" t="s">
        <v>39</v>
      </c>
      <c r="H94" s="63">
        <v>46230.0</v>
      </c>
      <c r="I94" s="63"/>
      <c r="J94" s="63"/>
      <c r="K94" s="63"/>
      <c r="L94" s="63"/>
      <c r="M94" s="63"/>
      <c r="N94" s="63"/>
      <c r="O94" s="63"/>
      <c r="P94" s="63"/>
      <c r="Q94" s="63">
        <v>46236.0</v>
      </c>
      <c r="R94" s="61" t="s">
        <v>64</v>
      </c>
      <c r="S94" s="61" t="s">
        <v>274</v>
      </c>
      <c r="T94" s="61" t="s">
        <v>41</v>
      </c>
      <c r="U94" s="61" t="s">
        <v>47</v>
      </c>
      <c r="V94" s="64"/>
      <c r="W94" s="64"/>
      <c r="X94" s="61"/>
      <c r="Y94" s="65"/>
      <c r="Z94" s="65"/>
      <c r="AA94" s="61"/>
      <c r="AB94" s="66"/>
      <c r="AC94" s="66"/>
      <c r="AD94" s="66"/>
      <c r="AE94" s="66"/>
      <c r="AF94" s="66"/>
      <c r="AG94" s="66"/>
      <c r="AH94" s="66"/>
    </row>
    <row r="95" ht="39.75" customHeight="1">
      <c r="A95" s="61" t="s">
        <v>275</v>
      </c>
      <c r="B95" s="61" t="s">
        <v>35</v>
      </c>
      <c r="C95" s="61" t="s">
        <v>270</v>
      </c>
      <c r="D95" s="61" t="s">
        <v>276</v>
      </c>
      <c r="E95" s="61" t="s">
        <v>277</v>
      </c>
      <c r="F95" s="61" t="s">
        <v>38</v>
      </c>
      <c r="G95" s="61" t="s">
        <v>63</v>
      </c>
      <c r="H95" s="63">
        <v>46231.0</v>
      </c>
      <c r="I95" s="63"/>
      <c r="J95" s="63"/>
      <c r="K95" s="63"/>
      <c r="L95" s="63"/>
      <c r="M95" s="63"/>
      <c r="N95" s="63"/>
      <c r="O95" s="63"/>
      <c r="P95" s="63"/>
      <c r="Q95" s="63">
        <v>46236.0</v>
      </c>
      <c r="R95" s="61" t="s">
        <v>64</v>
      </c>
      <c r="S95" s="61" t="s">
        <v>278</v>
      </c>
      <c r="T95" s="61" t="s">
        <v>41</v>
      </c>
      <c r="U95" s="61" t="s">
        <v>47</v>
      </c>
      <c r="V95" s="64"/>
      <c r="W95" s="64"/>
      <c r="X95" s="61"/>
      <c r="Y95" s="65"/>
      <c r="Z95" s="65"/>
      <c r="AA95" s="61"/>
      <c r="AB95" s="66"/>
      <c r="AC95" s="66"/>
      <c r="AD95" s="66"/>
      <c r="AE95" s="66"/>
      <c r="AF95" s="66"/>
      <c r="AG95" s="66"/>
      <c r="AH95" s="66"/>
    </row>
    <row r="96" ht="39.75" customHeight="1">
      <c r="A96" s="61" t="s">
        <v>279</v>
      </c>
      <c r="B96" s="61" t="s">
        <v>35</v>
      </c>
      <c r="C96" s="61" t="s">
        <v>270</v>
      </c>
      <c r="D96" s="61" t="s">
        <v>280</v>
      </c>
      <c r="E96" s="61" t="s">
        <v>281</v>
      </c>
      <c r="F96" s="61" t="s">
        <v>38</v>
      </c>
      <c r="G96" s="61" t="s">
        <v>63</v>
      </c>
      <c r="H96" s="63">
        <v>46236.0</v>
      </c>
      <c r="I96" s="63"/>
      <c r="J96" s="63"/>
      <c r="K96" s="63"/>
      <c r="L96" s="63"/>
      <c r="M96" s="63"/>
      <c r="N96" s="63"/>
      <c r="O96" s="63"/>
      <c r="P96" s="63"/>
      <c r="Q96" s="63">
        <v>46239.0</v>
      </c>
      <c r="R96" s="61" t="s">
        <v>64</v>
      </c>
      <c r="S96" s="61" t="s">
        <v>282</v>
      </c>
      <c r="T96" s="61" t="s">
        <v>41</v>
      </c>
      <c r="U96" s="61" t="s">
        <v>96</v>
      </c>
      <c r="V96" s="64"/>
      <c r="W96" s="64"/>
      <c r="X96" s="61"/>
      <c r="Y96" s="65"/>
      <c r="Z96" s="65"/>
      <c r="AA96" s="61"/>
      <c r="AB96" s="66"/>
      <c r="AC96" s="66"/>
      <c r="AD96" s="66"/>
      <c r="AE96" s="66"/>
      <c r="AF96" s="66"/>
      <c r="AG96" s="66"/>
      <c r="AH96" s="66"/>
    </row>
    <row r="97" ht="39.75" customHeight="1">
      <c r="A97" s="61" t="s">
        <v>283</v>
      </c>
      <c r="B97" s="61" t="s">
        <v>35</v>
      </c>
      <c r="C97" s="61" t="s">
        <v>270</v>
      </c>
      <c r="D97" s="61" t="s">
        <v>284</v>
      </c>
      <c r="E97" s="61" t="s">
        <v>285</v>
      </c>
      <c r="F97" s="61" t="s">
        <v>51</v>
      </c>
      <c r="G97" s="61" t="s">
        <v>63</v>
      </c>
      <c r="H97" s="63">
        <v>46239.0</v>
      </c>
      <c r="I97" s="63"/>
      <c r="J97" s="63"/>
      <c r="K97" s="63"/>
      <c r="L97" s="63"/>
      <c r="M97" s="63"/>
      <c r="N97" s="63"/>
      <c r="O97" s="63"/>
      <c r="P97" s="63"/>
      <c r="Q97" s="63">
        <v>46254.0</v>
      </c>
      <c r="R97" s="61" t="s">
        <v>64</v>
      </c>
      <c r="S97" s="61" t="s">
        <v>286</v>
      </c>
      <c r="T97" s="61" t="s">
        <v>41</v>
      </c>
      <c r="U97" s="61" t="s">
        <v>287</v>
      </c>
      <c r="V97" s="64"/>
      <c r="W97" s="64"/>
      <c r="X97" s="61"/>
      <c r="Y97" s="65"/>
      <c r="Z97" s="65"/>
      <c r="AA97" s="61"/>
      <c r="AB97" s="66"/>
      <c r="AC97" s="66"/>
      <c r="AD97" s="66"/>
      <c r="AE97" s="66"/>
      <c r="AF97" s="66"/>
      <c r="AG97" s="66"/>
      <c r="AH97" s="66"/>
    </row>
    <row r="98" ht="39.75" customHeight="1">
      <c r="A98" s="61" t="s">
        <v>288</v>
      </c>
      <c r="B98" s="61" t="s">
        <v>35</v>
      </c>
      <c r="C98" s="61" t="s">
        <v>270</v>
      </c>
      <c r="D98" s="61" t="s">
        <v>289</v>
      </c>
      <c r="E98" s="61" t="s">
        <v>290</v>
      </c>
      <c r="F98" s="61" t="s">
        <v>51</v>
      </c>
      <c r="G98" s="61" t="s">
        <v>63</v>
      </c>
      <c r="H98" s="63">
        <v>46235.0</v>
      </c>
      <c r="I98" s="63"/>
      <c r="J98" s="63"/>
      <c r="K98" s="63"/>
      <c r="L98" s="63"/>
      <c r="M98" s="63"/>
      <c r="N98" s="63"/>
      <c r="O98" s="63"/>
      <c r="P98" s="63"/>
      <c r="Q98" s="63">
        <v>46241.0</v>
      </c>
      <c r="R98" s="61" t="s">
        <v>64</v>
      </c>
      <c r="S98" s="61" t="s">
        <v>291</v>
      </c>
      <c r="T98" s="61" t="s">
        <v>41</v>
      </c>
      <c r="U98" s="61" t="s">
        <v>96</v>
      </c>
      <c r="V98" s="64"/>
      <c r="W98" s="64"/>
      <c r="X98" s="61"/>
      <c r="Y98" s="65"/>
      <c r="Z98" s="65"/>
      <c r="AA98" s="61"/>
      <c r="AB98" s="66"/>
      <c r="AC98" s="66"/>
      <c r="AD98" s="66"/>
      <c r="AE98" s="66"/>
      <c r="AF98" s="66"/>
      <c r="AG98" s="66"/>
      <c r="AH98" s="66"/>
    </row>
    <row r="99" ht="39.75" customHeight="1">
      <c r="A99" s="61" t="s">
        <v>292</v>
      </c>
      <c r="B99" s="61" t="s">
        <v>35</v>
      </c>
      <c r="C99" s="61" t="s">
        <v>270</v>
      </c>
      <c r="D99" s="61" t="s">
        <v>293</v>
      </c>
      <c r="E99" s="61" t="s">
        <v>294</v>
      </c>
      <c r="F99" s="61" t="s">
        <v>51</v>
      </c>
      <c r="G99" s="61" t="s">
        <v>39</v>
      </c>
      <c r="H99" s="63">
        <v>46237.0</v>
      </c>
      <c r="I99" s="63"/>
      <c r="J99" s="63"/>
      <c r="K99" s="63"/>
      <c r="L99" s="63"/>
      <c r="M99" s="63"/>
      <c r="N99" s="63"/>
      <c r="O99" s="63"/>
      <c r="P99" s="63"/>
      <c r="Q99" s="63">
        <v>46246.0</v>
      </c>
      <c r="R99" s="61" t="s">
        <v>64</v>
      </c>
      <c r="S99" s="61" t="s">
        <v>295</v>
      </c>
      <c r="T99" s="61" t="s">
        <v>41</v>
      </c>
      <c r="U99" s="61" t="s">
        <v>110</v>
      </c>
      <c r="V99" s="64"/>
      <c r="W99" s="64"/>
      <c r="X99" s="61"/>
      <c r="Y99" s="65"/>
      <c r="Z99" s="65"/>
      <c r="AA99" s="61"/>
      <c r="AB99" s="66"/>
      <c r="AC99" s="66"/>
      <c r="AD99" s="66"/>
      <c r="AE99" s="66"/>
      <c r="AF99" s="66"/>
      <c r="AG99" s="66"/>
      <c r="AH99" s="66"/>
    </row>
    <row r="100" ht="39.75" customHeight="1">
      <c r="A100" s="61" t="s">
        <v>296</v>
      </c>
      <c r="B100" s="61" t="s">
        <v>35</v>
      </c>
      <c r="C100" s="61" t="s">
        <v>270</v>
      </c>
      <c r="D100" s="61" t="s">
        <v>297</v>
      </c>
      <c r="E100" s="61" t="s">
        <v>298</v>
      </c>
      <c r="F100" s="61" t="s">
        <v>51</v>
      </c>
      <c r="G100" s="61" t="s">
        <v>78</v>
      </c>
      <c r="H100" s="63">
        <v>46246.0</v>
      </c>
      <c r="I100" s="63"/>
      <c r="J100" s="63"/>
      <c r="K100" s="63"/>
      <c r="L100" s="63"/>
      <c r="M100" s="63"/>
      <c r="N100" s="63"/>
      <c r="O100" s="63"/>
      <c r="P100" s="63"/>
      <c r="Q100" s="63">
        <v>46256.0</v>
      </c>
      <c r="R100" s="61" t="s">
        <v>64</v>
      </c>
      <c r="S100" s="61" t="s">
        <v>299</v>
      </c>
      <c r="T100" s="61" t="s">
        <v>41</v>
      </c>
      <c r="U100" s="61" t="s">
        <v>105</v>
      </c>
      <c r="V100" s="64"/>
      <c r="W100" s="64"/>
      <c r="X100" s="61"/>
      <c r="Y100" s="65"/>
      <c r="Z100" s="65"/>
      <c r="AA100" s="61"/>
      <c r="AB100" s="66"/>
      <c r="AC100" s="66"/>
      <c r="AD100" s="66"/>
      <c r="AE100" s="66"/>
      <c r="AF100" s="66"/>
      <c r="AG100" s="66"/>
      <c r="AH100" s="66"/>
    </row>
    <row r="101" ht="39.75" customHeight="1">
      <c r="A101" s="61" t="s">
        <v>300</v>
      </c>
      <c r="B101" s="61" t="s">
        <v>35</v>
      </c>
      <c r="C101" s="61" t="s">
        <v>270</v>
      </c>
      <c r="D101" s="61" t="s">
        <v>301</v>
      </c>
      <c r="E101" s="61" t="s">
        <v>302</v>
      </c>
      <c r="F101" s="61" t="s">
        <v>51</v>
      </c>
      <c r="G101" s="61" t="s">
        <v>63</v>
      </c>
      <c r="H101" s="63">
        <v>46239.0</v>
      </c>
      <c r="I101" s="63"/>
      <c r="J101" s="63"/>
      <c r="K101" s="63"/>
      <c r="L101" s="63"/>
      <c r="M101" s="63"/>
      <c r="N101" s="63"/>
      <c r="O101" s="63"/>
      <c r="P101" s="63"/>
      <c r="Q101" s="63">
        <v>46246.0</v>
      </c>
      <c r="R101" s="61" t="s">
        <v>64</v>
      </c>
      <c r="S101" s="61" t="s">
        <v>303</v>
      </c>
      <c r="T101" s="61" t="s">
        <v>41</v>
      </c>
      <c r="U101" s="61" t="s">
        <v>96</v>
      </c>
      <c r="V101" s="64"/>
      <c r="W101" s="64"/>
      <c r="X101" s="61"/>
      <c r="Y101" s="65"/>
      <c r="Z101" s="65"/>
      <c r="AA101" s="61"/>
      <c r="AB101" s="66"/>
      <c r="AC101" s="66"/>
      <c r="AD101" s="66"/>
      <c r="AE101" s="66"/>
      <c r="AF101" s="66"/>
      <c r="AG101" s="66"/>
      <c r="AH101" s="66"/>
    </row>
    <row r="102" ht="39.75" customHeight="1">
      <c r="A102" s="61" t="s">
        <v>304</v>
      </c>
      <c r="B102" s="61" t="s">
        <v>35</v>
      </c>
      <c r="C102" s="61" t="s">
        <v>270</v>
      </c>
      <c r="D102" s="61" t="s">
        <v>305</v>
      </c>
      <c r="E102" s="61" t="s">
        <v>306</v>
      </c>
      <c r="F102" s="61" t="s">
        <v>51</v>
      </c>
      <c r="G102" s="61" t="s">
        <v>63</v>
      </c>
      <c r="H102" s="63">
        <v>46242.0</v>
      </c>
      <c r="I102" s="63"/>
      <c r="J102" s="63"/>
      <c r="K102" s="63"/>
      <c r="L102" s="63"/>
      <c r="M102" s="63"/>
      <c r="N102" s="63"/>
      <c r="O102" s="63"/>
      <c r="P102" s="63"/>
      <c r="Q102" s="63">
        <v>46249.0</v>
      </c>
      <c r="R102" s="61" t="s">
        <v>64</v>
      </c>
      <c r="S102" s="61" t="s">
        <v>307</v>
      </c>
      <c r="T102" s="61" t="s">
        <v>41</v>
      </c>
      <c r="U102" s="61" t="s">
        <v>96</v>
      </c>
      <c r="V102" s="64"/>
      <c r="W102" s="64"/>
      <c r="X102" s="61"/>
      <c r="Y102" s="65"/>
      <c r="Z102" s="65"/>
      <c r="AA102" s="61"/>
      <c r="AB102" s="66"/>
      <c r="AC102" s="66"/>
      <c r="AD102" s="66"/>
      <c r="AE102" s="66"/>
      <c r="AF102" s="66"/>
      <c r="AG102" s="66"/>
      <c r="AH102" s="66"/>
    </row>
    <row r="103" ht="39.75" customHeight="1">
      <c r="A103" s="61" t="s">
        <v>308</v>
      </c>
      <c r="B103" s="61" t="s">
        <v>35</v>
      </c>
      <c r="C103" s="61" t="s">
        <v>270</v>
      </c>
      <c r="D103" s="61" t="s">
        <v>309</v>
      </c>
      <c r="E103" s="61" t="s">
        <v>310</v>
      </c>
      <c r="F103" s="61" t="s">
        <v>51</v>
      </c>
      <c r="G103" s="61" t="s">
        <v>63</v>
      </c>
      <c r="H103" s="63">
        <v>46244.0</v>
      </c>
      <c r="I103" s="63"/>
      <c r="J103" s="63"/>
      <c r="K103" s="63"/>
      <c r="L103" s="63"/>
      <c r="M103" s="63"/>
      <c r="N103" s="63"/>
      <c r="O103" s="63"/>
      <c r="P103" s="63"/>
      <c r="Q103" s="63">
        <v>46252.0</v>
      </c>
      <c r="R103" s="61" t="s">
        <v>64</v>
      </c>
      <c r="S103" s="61" t="s">
        <v>311</v>
      </c>
      <c r="T103" s="61" t="s">
        <v>41</v>
      </c>
      <c r="U103" s="61" t="s">
        <v>42</v>
      </c>
      <c r="V103" s="64"/>
      <c r="W103" s="64"/>
      <c r="X103" s="61"/>
      <c r="Y103" s="65"/>
      <c r="Z103" s="65"/>
      <c r="AA103" s="61"/>
      <c r="AB103" s="66"/>
      <c r="AC103" s="66"/>
      <c r="AD103" s="66"/>
      <c r="AE103" s="66"/>
      <c r="AF103" s="66"/>
      <c r="AG103" s="66"/>
      <c r="AH103" s="66"/>
    </row>
    <row r="104" ht="39.75" customHeight="1">
      <c r="A104" s="61" t="s">
        <v>312</v>
      </c>
      <c r="B104" s="61" t="s">
        <v>35</v>
      </c>
      <c r="C104" s="61" t="s">
        <v>270</v>
      </c>
      <c r="D104" s="61" t="s">
        <v>313</v>
      </c>
      <c r="E104" s="61" t="s">
        <v>314</v>
      </c>
      <c r="F104" s="61" t="s">
        <v>172</v>
      </c>
      <c r="G104" s="61" t="s">
        <v>78</v>
      </c>
      <c r="H104" s="63">
        <v>46244.0</v>
      </c>
      <c r="I104" s="63"/>
      <c r="J104" s="63"/>
      <c r="K104" s="63"/>
      <c r="L104" s="63"/>
      <c r="M104" s="63"/>
      <c r="N104" s="63"/>
      <c r="O104" s="63"/>
      <c r="P104" s="63"/>
      <c r="Q104" s="63">
        <v>46256.0</v>
      </c>
      <c r="R104" s="61" t="s">
        <v>64</v>
      </c>
      <c r="S104" s="61" t="s">
        <v>315</v>
      </c>
      <c r="T104" s="61" t="s">
        <v>41</v>
      </c>
      <c r="U104" s="61" t="s">
        <v>96</v>
      </c>
      <c r="V104" s="64"/>
      <c r="W104" s="64"/>
      <c r="X104" s="61"/>
      <c r="Y104" s="65"/>
      <c r="Z104" s="65"/>
      <c r="AA104" s="61"/>
      <c r="AB104" s="66"/>
      <c r="AC104" s="66"/>
      <c r="AD104" s="66"/>
      <c r="AE104" s="66"/>
      <c r="AF104" s="66"/>
      <c r="AG104" s="66"/>
      <c r="AH104" s="66"/>
    </row>
    <row r="105" ht="39.75" customHeight="1">
      <c r="A105" s="61" t="s">
        <v>316</v>
      </c>
      <c r="B105" s="61" t="s">
        <v>35</v>
      </c>
      <c r="C105" s="61" t="s">
        <v>270</v>
      </c>
      <c r="D105" s="61" t="s">
        <v>317</v>
      </c>
      <c r="E105" s="61" t="s">
        <v>318</v>
      </c>
      <c r="F105" s="61" t="s">
        <v>51</v>
      </c>
      <c r="G105" s="61" t="s">
        <v>39</v>
      </c>
      <c r="H105" s="63">
        <v>46249.0</v>
      </c>
      <c r="I105" s="63"/>
      <c r="J105" s="63"/>
      <c r="K105" s="63"/>
      <c r="L105" s="63"/>
      <c r="M105" s="63"/>
      <c r="N105" s="63"/>
      <c r="O105" s="63"/>
      <c r="P105" s="63"/>
      <c r="Q105" s="63">
        <v>46257.0</v>
      </c>
      <c r="R105" s="61" t="s">
        <v>64</v>
      </c>
      <c r="S105" s="61" t="s">
        <v>319</v>
      </c>
      <c r="T105" s="61" t="s">
        <v>41</v>
      </c>
      <c r="U105" s="61" t="s">
        <v>96</v>
      </c>
      <c r="V105" s="64"/>
      <c r="W105" s="64"/>
      <c r="X105" s="61"/>
      <c r="Y105" s="65"/>
      <c r="Z105" s="65"/>
      <c r="AA105" s="61"/>
      <c r="AB105" s="66"/>
      <c r="AC105" s="66"/>
      <c r="AD105" s="66"/>
      <c r="AE105" s="66"/>
      <c r="AF105" s="66"/>
      <c r="AG105" s="66"/>
      <c r="AH105" s="66"/>
    </row>
    <row r="106" ht="39.75" customHeight="1">
      <c r="A106" s="61" t="s">
        <v>320</v>
      </c>
      <c r="B106" s="61" t="s">
        <v>35</v>
      </c>
      <c r="C106" s="61" t="s">
        <v>270</v>
      </c>
      <c r="D106" s="61" t="s">
        <v>321</v>
      </c>
      <c r="E106" s="61" t="s">
        <v>322</v>
      </c>
      <c r="F106" s="61" t="s">
        <v>51</v>
      </c>
      <c r="G106" s="61" t="s">
        <v>78</v>
      </c>
      <c r="H106" s="63">
        <v>46254.0</v>
      </c>
      <c r="I106" s="63"/>
      <c r="J106" s="63"/>
      <c r="K106" s="63"/>
      <c r="L106" s="63"/>
      <c r="M106" s="63"/>
      <c r="N106" s="63"/>
      <c r="O106" s="63"/>
      <c r="P106" s="63"/>
      <c r="Q106" s="63">
        <v>46257.0</v>
      </c>
      <c r="R106" s="61" t="s">
        <v>64</v>
      </c>
      <c r="S106" s="61" t="s">
        <v>323</v>
      </c>
      <c r="T106" s="61" t="s">
        <v>41</v>
      </c>
      <c r="U106" s="61" t="s">
        <v>96</v>
      </c>
      <c r="V106" s="64"/>
      <c r="W106" s="64"/>
      <c r="X106" s="61"/>
      <c r="Y106" s="65"/>
      <c r="Z106" s="65"/>
      <c r="AA106" s="61"/>
      <c r="AB106" s="66"/>
      <c r="AC106" s="66"/>
      <c r="AD106" s="66"/>
      <c r="AE106" s="66"/>
      <c r="AF106" s="66"/>
      <c r="AG106" s="66"/>
      <c r="AH106" s="66"/>
    </row>
    <row r="107" ht="39.75" customHeight="1">
      <c r="A107" s="61" t="s">
        <v>324</v>
      </c>
      <c r="B107" s="61" t="s">
        <v>35</v>
      </c>
      <c r="C107" s="61" t="s">
        <v>270</v>
      </c>
      <c r="D107" s="61" t="s">
        <v>325</v>
      </c>
      <c r="E107" s="61" t="s">
        <v>326</v>
      </c>
      <c r="F107" s="61" t="s">
        <v>38</v>
      </c>
      <c r="G107" s="61" t="s">
        <v>63</v>
      </c>
      <c r="H107" s="63">
        <v>46279.0</v>
      </c>
      <c r="I107" s="63"/>
      <c r="J107" s="63"/>
      <c r="K107" s="63"/>
      <c r="L107" s="63"/>
      <c r="M107" s="63"/>
      <c r="N107" s="63"/>
      <c r="O107" s="63"/>
      <c r="P107" s="63"/>
      <c r="Q107" s="63">
        <v>46283.0</v>
      </c>
      <c r="R107" s="61" t="s">
        <v>64</v>
      </c>
      <c r="S107" s="61" t="s">
        <v>327</v>
      </c>
      <c r="T107" s="61" t="s">
        <v>53</v>
      </c>
      <c r="U107" s="61" t="s">
        <v>47</v>
      </c>
      <c r="V107" s="64"/>
      <c r="W107" s="64"/>
      <c r="X107" s="61"/>
      <c r="Y107" s="65"/>
      <c r="Z107" s="65"/>
      <c r="AA107" s="61"/>
      <c r="AB107" s="66"/>
      <c r="AC107" s="66"/>
      <c r="AD107" s="66"/>
      <c r="AE107" s="66"/>
      <c r="AF107" s="66"/>
      <c r="AG107" s="66"/>
      <c r="AH107" s="66"/>
    </row>
    <row r="108" ht="39.75" customHeight="1">
      <c r="A108" s="61" t="s">
        <v>328</v>
      </c>
      <c r="B108" s="61" t="s">
        <v>35</v>
      </c>
      <c r="C108" s="61" t="s">
        <v>270</v>
      </c>
      <c r="D108" s="61" t="s">
        <v>329</v>
      </c>
      <c r="E108" s="61" t="s">
        <v>330</v>
      </c>
      <c r="F108" s="61" t="s">
        <v>38</v>
      </c>
      <c r="G108" s="61" t="s">
        <v>39</v>
      </c>
      <c r="H108" s="63">
        <v>46288.0</v>
      </c>
      <c r="I108" s="63"/>
      <c r="J108" s="63"/>
      <c r="K108" s="63"/>
      <c r="L108" s="63"/>
      <c r="M108" s="63"/>
      <c r="N108" s="63"/>
      <c r="O108" s="63"/>
      <c r="P108" s="63"/>
      <c r="Q108" s="63">
        <v>46288.0</v>
      </c>
      <c r="R108" s="61" t="s">
        <v>64</v>
      </c>
      <c r="S108" s="61" t="s">
        <v>331</v>
      </c>
      <c r="T108" s="61" t="s">
        <v>53</v>
      </c>
      <c r="U108" s="61" t="s">
        <v>332</v>
      </c>
      <c r="V108" s="64"/>
      <c r="W108" s="64"/>
      <c r="X108" s="61"/>
      <c r="Y108" s="65"/>
      <c r="Z108" s="65"/>
      <c r="AA108" s="61"/>
      <c r="AB108" s="66"/>
      <c r="AC108" s="66"/>
      <c r="AD108" s="66"/>
      <c r="AE108" s="66"/>
      <c r="AF108" s="66"/>
      <c r="AG108" s="66"/>
      <c r="AH108" s="66"/>
    </row>
    <row r="109" ht="20.25" customHeight="1">
      <c r="A109" s="36"/>
      <c r="B109" s="36"/>
      <c r="C109" s="36"/>
      <c r="D109" s="36"/>
      <c r="E109" s="36"/>
      <c r="F109" s="36"/>
      <c r="G109" s="36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6"/>
      <c r="S109" s="36"/>
      <c r="T109" s="36"/>
      <c r="U109" s="36"/>
      <c r="V109" s="38"/>
      <c r="W109" s="38"/>
      <c r="X109" s="36"/>
      <c r="Y109" s="39"/>
      <c r="Z109" s="39"/>
      <c r="AA109" s="36"/>
      <c r="AB109" s="40"/>
      <c r="AC109" s="40"/>
      <c r="AD109" s="40"/>
      <c r="AE109" s="40"/>
      <c r="AF109" s="40"/>
      <c r="AG109" s="40"/>
      <c r="AH109" s="40"/>
    </row>
    <row r="110" ht="24.0" customHeight="1">
      <c r="A110" s="41"/>
      <c r="B110" s="41" t="s">
        <v>60</v>
      </c>
      <c r="C110" s="41" t="s">
        <v>270</v>
      </c>
      <c r="D110" s="41" t="s">
        <v>333</v>
      </c>
      <c r="E110" s="41"/>
      <c r="F110" s="41" t="s">
        <v>38</v>
      </c>
      <c r="G110" s="41" t="s">
        <v>63</v>
      </c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1"/>
      <c r="S110" s="41"/>
      <c r="T110" s="41"/>
      <c r="U110" s="41"/>
      <c r="V110" s="43"/>
      <c r="W110" s="43"/>
      <c r="X110" s="41"/>
      <c r="Y110" s="44"/>
      <c r="Z110" s="44"/>
      <c r="AA110" s="41"/>
      <c r="AB110" s="45"/>
      <c r="AC110" s="45"/>
      <c r="AD110" s="45"/>
      <c r="AE110" s="45"/>
      <c r="AF110" s="45"/>
      <c r="AG110" s="45"/>
      <c r="AH110" s="45"/>
    </row>
    <row r="111" ht="39.75" customHeight="1">
      <c r="A111" s="41" t="s">
        <v>334</v>
      </c>
      <c r="B111" s="41" t="s">
        <v>60</v>
      </c>
      <c r="C111" s="41" t="s">
        <v>270</v>
      </c>
      <c r="D111" s="41" t="s">
        <v>335</v>
      </c>
      <c r="E111" s="41" t="s">
        <v>149</v>
      </c>
      <c r="F111" s="41" t="s">
        <v>51</v>
      </c>
      <c r="G111" s="41" t="s">
        <v>63</v>
      </c>
      <c r="H111" s="42"/>
      <c r="I111" s="42"/>
      <c r="J111" s="42"/>
      <c r="K111" s="42"/>
      <c r="L111" s="42"/>
      <c r="M111" s="42"/>
      <c r="N111" s="42"/>
      <c r="O111" s="42"/>
      <c r="P111" s="42"/>
      <c r="Q111" s="42">
        <v>46246.0</v>
      </c>
      <c r="R111" s="41" t="s">
        <v>64</v>
      </c>
      <c r="S111" s="41" t="s">
        <v>65</v>
      </c>
      <c r="T111" s="41" t="s">
        <v>41</v>
      </c>
      <c r="U111" s="41" t="s">
        <v>336</v>
      </c>
      <c r="V111" s="43"/>
      <c r="W111" s="43"/>
      <c r="X111" s="41"/>
      <c r="Y111" s="44"/>
      <c r="Z111" s="44"/>
      <c r="AA111" s="41"/>
      <c r="AB111" s="45"/>
      <c r="AC111" s="45"/>
      <c r="AD111" s="45"/>
      <c r="AE111" s="45"/>
      <c r="AF111" s="45"/>
      <c r="AG111" s="45"/>
      <c r="AH111" s="45"/>
    </row>
    <row r="112" ht="39.75" customHeight="1">
      <c r="A112" s="41" t="s">
        <v>337</v>
      </c>
      <c r="B112" s="41" t="s">
        <v>60</v>
      </c>
      <c r="C112" s="41" t="s">
        <v>270</v>
      </c>
      <c r="D112" s="41" t="s">
        <v>338</v>
      </c>
      <c r="E112" s="41" t="s">
        <v>149</v>
      </c>
      <c r="F112" s="41" t="s">
        <v>51</v>
      </c>
      <c r="G112" s="41" t="s">
        <v>78</v>
      </c>
      <c r="H112" s="42"/>
      <c r="I112" s="42"/>
      <c r="J112" s="42"/>
      <c r="K112" s="42"/>
      <c r="L112" s="42"/>
      <c r="M112" s="42"/>
      <c r="N112" s="42"/>
      <c r="O112" s="42"/>
      <c r="P112" s="42"/>
      <c r="Q112" s="42">
        <v>46252.0</v>
      </c>
      <c r="R112" s="41" t="s">
        <v>64</v>
      </c>
      <c r="S112" s="41" t="s">
        <v>65</v>
      </c>
      <c r="T112" s="41" t="s">
        <v>41</v>
      </c>
      <c r="U112" s="41">
        <v>1.0</v>
      </c>
      <c r="V112" s="43"/>
      <c r="W112" s="43"/>
      <c r="X112" s="41"/>
      <c r="Y112" s="44"/>
      <c r="Z112" s="44"/>
      <c r="AA112" s="41"/>
      <c r="AB112" s="45"/>
      <c r="AC112" s="45"/>
      <c r="AD112" s="45"/>
      <c r="AE112" s="45"/>
      <c r="AF112" s="45"/>
      <c r="AG112" s="45"/>
      <c r="AH112" s="45"/>
    </row>
    <row r="113" ht="39.75" customHeight="1">
      <c r="A113" s="41" t="s">
        <v>339</v>
      </c>
      <c r="B113" s="41" t="s">
        <v>60</v>
      </c>
      <c r="C113" s="41" t="s">
        <v>270</v>
      </c>
      <c r="D113" s="41" t="s">
        <v>340</v>
      </c>
      <c r="E113" s="41" t="s">
        <v>149</v>
      </c>
      <c r="F113" s="41" t="s">
        <v>51</v>
      </c>
      <c r="G113" s="41" t="s">
        <v>78</v>
      </c>
      <c r="H113" s="42"/>
      <c r="I113" s="42"/>
      <c r="J113" s="42"/>
      <c r="K113" s="42"/>
      <c r="L113" s="42"/>
      <c r="M113" s="42"/>
      <c r="N113" s="42"/>
      <c r="O113" s="42"/>
      <c r="P113" s="42"/>
      <c r="Q113" s="42">
        <v>46256.0</v>
      </c>
      <c r="R113" s="41" t="s">
        <v>64</v>
      </c>
      <c r="S113" s="41" t="s">
        <v>65</v>
      </c>
      <c r="T113" s="41" t="s">
        <v>41</v>
      </c>
      <c r="U113" s="41">
        <v>1.0</v>
      </c>
      <c r="V113" s="43"/>
      <c r="W113" s="43"/>
      <c r="X113" s="41"/>
      <c r="Y113" s="44"/>
      <c r="Z113" s="44"/>
      <c r="AA113" s="41" t="s">
        <v>341</v>
      </c>
      <c r="AB113" s="45"/>
      <c r="AC113" s="45"/>
      <c r="AD113" s="45"/>
      <c r="AE113" s="45"/>
      <c r="AF113" s="45"/>
      <c r="AG113" s="45"/>
      <c r="AH113" s="45"/>
    </row>
    <row r="114" ht="17.25" customHeight="1">
      <c r="A114" s="20"/>
      <c r="B114" s="20"/>
      <c r="C114" s="20"/>
      <c r="D114" s="20"/>
      <c r="E114" s="20"/>
      <c r="F114" s="20"/>
      <c r="G114" s="20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0"/>
      <c r="S114" s="20"/>
      <c r="T114" s="20"/>
      <c r="U114" s="20"/>
      <c r="V114" s="22"/>
      <c r="W114" s="22"/>
      <c r="X114" s="20"/>
      <c r="Y114" s="23"/>
      <c r="Z114" s="23"/>
      <c r="AA114" s="20"/>
      <c r="AB114" s="24"/>
      <c r="AC114" s="24"/>
      <c r="AD114" s="24"/>
      <c r="AE114" s="24"/>
      <c r="AF114" s="24"/>
      <c r="AG114" s="24"/>
      <c r="AH114" s="24"/>
    </row>
    <row r="115" ht="39.75" customHeight="1">
      <c r="A115" s="67" t="s">
        <v>342</v>
      </c>
      <c r="B115" s="67" t="s">
        <v>343</v>
      </c>
      <c r="C115" s="67" t="s">
        <v>270</v>
      </c>
      <c r="D115" s="67" t="s">
        <v>344</v>
      </c>
      <c r="E115" s="67" t="s">
        <v>345</v>
      </c>
      <c r="F115" s="67" t="s">
        <v>38</v>
      </c>
      <c r="G115" s="67" t="s">
        <v>39</v>
      </c>
      <c r="H115" s="68"/>
      <c r="I115" s="68"/>
      <c r="J115" s="68"/>
      <c r="K115" s="68"/>
      <c r="L115" s="68"/>
      <c r="M115" s="68"/>
      <c r="N115" s="68"/>
      <c r="O115" s="68"/>
      <c r="P115" s="68"/>
      <c r="Q115" s="68">
        <v>46236.0</v>
      </c>
      <c r="R115" s="67" t="s">
        <v>64</v>
      </c>
      <c r="S115" s="67" t="s">
        <v>346</v>
      </c>
      <c r="T115" s="67" t="s">
        <v>41</v>
      </c>
      <c r="U115" s="67"/>
      <c r="V115" s="69"/>
      <c r="W115" s="69"/>
      <c r="X115" s="67"/>
      <c r="Y115" s="70"/>
      <c r="Z115" s="70"/>
      <c r="AA115" s="67" t="s">
        <v>347</v>
      </c>
      <c r="AB115" s="71"/>
      <c r="AC115" s="71"/>
      <c r="AD115" s="71"/>
      <c r="AE115" s="71"/>
      <c r="AF115" s="71"/>
      <c r="AG115" s="71"/>
      <c r="AH115" s="71"/>
    </row>
    <row r="116" ht="39.75" customHeight="1">
      <c r="A116" s="67" t="s">
        <v>348</v>
      </c>
      <c r="B116" s="67" t="s">
        <v>343</v>
      </c>
      <c r="C116" s="67" t="s">
        <v>270</v>
      </c>
      <c r="D116" s="67" t="s">
        <v>349</v>
      </c>
      <c r="E116" s="67" t="s">
        <v>350</v>
      </c>
      <c r="F116" s="67" t="s">
        <v>38</v>
      </c>
      <c r="G116" s="67" t="s">
        <v>39</v>
      </c>
      <c r="H116" s="68"/>
      <c r="I116" s="68"/>
      <c r="J116" s="68"/>
      <c r="K116" s="68"/>
      <c r="L116" s="68"/>
      <c r="M116" s="68"/>
      <c r="N116" s="68"/>
      <c r="O116" s="68"/>
      <c r="P116" s="68"/>
      <c r="Q116" s="68">
        <v>46236.0</v>
      </c>
      <c r="R116" s="67" t="s">
        <v>64</v>
      </c>
      <c r="S116" s="67" t="s">
        <v>346</v>
      </c>
      <c r="T116" s="67" t="s">
        <v>41</v>
      </c>
      <c r="U116" s="67"/>
      <c r="V116" s="69"/>
      <c r="W116" s="69"/>
      <c r="X116" s="67"/>
      <c r="Y116" s="70"/>
      <c r="Z116" s="70"/>
      <c r="AA116" s="67" t="s">
        <v>351</v>
      </c>
      <c r="AB116" s="71"/>
      <c r="AC116" s="71"/>
      <c r="AD116" s="71"/>
      <c r="AE116" s="71"/>
      <c r="AF116" s="71"/>
      <c r="AG116" s="71"/>
      <c r="AH116" s="71"/>
    </row>
    <row r="117" ht="39.75" customHeight="1">
      <c r="A117" s="67" t="s">
        <v>352</v>
      </c>
      <c r="B117" s="67" t="s">
        <v>343</v>
      </c>
      <c r="C117" s="67" t="s">
        <v>270</v>
      </c>
      <c r="D117" s="67" t="s">
        <v>353</v>
      </c>
      <c r="E117" s="67" t="s">
        <v>354</v>
      </c>
      <c r="F117" s="67" t="s">
        <v>51</v>
      </c>
      <c r="G117" s="67" t="s">
        <v>63</v>
      </c>
      <c r="H117" s="68"/>
      <c r="I117" s="68"/>
      <c r="J117" s="68"/>
      <c r="K117" s="68"/>
      <c r="L117" s="68"/>
      <c r="M117" s="68"/>
      <c r="N117" s="68"/>
      <c r="O117" s="68"/>
      <c r="P117" s="68"/>
      <c r="Q117" s="68">
        <v>46242.0</v>
      </c>
      <c r="R117" s="67" t="s">
        <v>64</v>
      </c>
      <c r="S117" s="67" t="s">
        <v>346</v>
      </c>
      <c r="T117" s="67" t="s">
        <v>41</v>
      </c>
      <c r="U117" s="67"/>
      <c r="V117" s="69"/>
      <c r="W117" s="69"/>
      <c r="X117" s="67"/>
      <c r="Y117" s="70"/>
      <c r="Z117" s="70"/>
      <c r="AA117" s="67" t="s">
        <v>355</v>
      </c>
      <c r="AB117" s="71"/>
      <c r="AC117" s="71"/>
      <c r="AD117" s="71"/>
      <c r="AE117" s="71"/>
      <c r="AF117" s="71"/>
      <c r="AG117" s="71"/>
      <c r="AH117" s="71"/>
    </row>
    <row r="118" ht="39.75" customHeight="1">
      <c r="A118" s="67" t="s">
        <v>356</v>
      </c>
      <c r="B118" s="67" t="s">
        <v>343</v>
      </c>
      <c r="C118" s="67" t="s">
        <v>270</v>
      </c>
      <c r="D118" s="67" t="s">
        <v>357</v>
      </c>
      <c r="E118" s="67" t="s">
        <v>358</v>
      </c>
      <c r="F118" s="67" t="s">
        <v>38</v>
      </c>
      <c r="G118" s="67" t="s">
        <v>63</v>
      </c>
      <c r="H118" s="68"/>
      <c r="I118" s="68"/>
      <c r="J118" s="68"/>
      <c r="K118" s="68"/>
      <c r="L118" s="68"/>
      <c r="M118" s="68"/>
      <c r="N118" s="68"/>
      <c r="O118" s="68"/>
      <c r="P118" s="68"/>
      <c r="Q118" s="68">
        <v>46236.0</v>
      </c>
      <c r="R118" s="67" t="s">
        <v>64</v>
      </c>
      <c r="S118" s="67" t="s">
        <v>346</v>
      </c>
      <c r="T118" s="67" t="s">
        <v>41</v>
      </c>
      <c r="U118" s="67"/>
      <c r="V118" s="69"/>
      <c r="W118" s="69"/>
      <c r="X118" s="67"/>
      <c r="Y118" s="70"/>
      <c r="Z118" s="70"/>
      <c r="AA118" s="67" t="s">
        <v>359</v>
      </c>
      <c r="AB118" s="71"/>
      <c r="AC118" s="71"/>
      <c r="AD118" s="71"/>
      <c r="AE118" s="71"/>
      <c r="AF118" s="71"/>
      <c r="AG118" s="71"/>
      <c r="AH118" s="71"/>
    </row>
    <row r="119" ht="39.75" customHeight="1">
      <c r="A119" s="67" t="s">
        <v>360</v>
      </c>
      <c r="B119" s="67" t="s">
        <v>343</v>
      </c>
      <c r="C119" s="67" t="s">
        <v>270</v>
      </c>
      <c r="D119" s="67" t="s">
        <v>361</v>
      </c>
      <c r="E119" s="67" t="s">
        <v>362</v>
      </c>
      <c r="F119" s="67" t="s">
        <v>38</v>
      </c>
      <c r="G119" s="67" t="s">
        <v>63</v>
      </c>
      <c r="H119" s="68"/>
      <c r="I119" s="68"/>
      <c r="J119" s="68"/>
      <c r="K119" s="68"/>
      <c r="L119" s="68"/>
      <c r="M119" s="68"/>
      <c r="N119" s="68"/>
      <c r="O119" s="68"/>
      <c r="P119" s="68"/>
      <c r="Q119" s="68">
        <v>46239.0</v>
      </c>
      <c r="R119" s="67" t="s">
        <v>64</v>
      </c>
      <c r="S119" s="67" t="s">
        <v>346</v>
      </c>
      <c r="T119" s="67" t="s">
        <v>41</v>
      </c>
      <c r="U119" s="67"/>
      <c r="V119" s="69"/>
      <c r="W119" s="69"/>
      <c r="X119" s="67"/>
      <c r="Y119" s="70"/>
      <c r="Z119" s="70"/>
      <c r="AA119" s="67" t="s">
        <v>363</v>
      </c>
      <c r="AB119" s="71"/>
      <c r="AC119" s="71"/>
      <c r="AD119" s="71"/>
      <c r="AE119" s="71"/>
      <c r="AF119" s="71"/>
      <c r="AG119" s="71"/>
      <c r="AH119" s="71"/>
    </row>
    <row r="120" ht="39.75" customHeight="1">
      <c r="A120" s="67" t="s">
        <v>364</v>
      </c>
      <c r="B120" s="67" t="s">
        <v>343</v>
      </c>
      <c r="C120" s="67" t="s">
        <v>270</v>
      </c>
      <c r="D120" s="67" t="s">
        <v>365</v>
      </c>
      <c r="E120" s="67" t="s">
        <v>366</v>
      </c>
      <c r="F120" s="67" t="s">
        <v>51</v>
      </c>
      <c r="G120" s="67" t="s">
        <v>39</v>
      </c>
      <c r="H120" s="68"/>
      <c r="I120" s="68"/>
      <c r="J120" s="68"/>
      <c r="K120" s="68"/>
      <c r="L120" s="68"/>
      <c r="M120" s="68"/>
      <c r="N120" s="68"/>
      <c r="O120" s="68"/>
      <c r="P120" s="68"/>
      <c r="Q120" s="68">
        <v>46257.0</v>
      </c>
      <c r="R120" s="67" t="s">
        <v>64</v>
      </c>
      <c r="S120" s="67" t="s">
        <v>346</v>
      </c>
      <c r="T120" s="67" t="s">
        <v>41</v>
      </c>
      <c r="U120" s="67"/>
      <c r="V120" s="69"/>
      <c r="W120" s="69"/>
      <c r="X120" s="67"/>
      <c r="Y120" s="70"/>
      <c r="Z120" s="70"/>
      <c r="AA120" s="67" t="s">
        <v>367</v>
      </c>
      <c r="AB120" s="71"/>
      <c r="AC120" s="71"/>
      <c r="AD120" s="71"/>
      <c r="AE120" s="71"/>
      <c r="AF120" s="71"/>
      <c r="AG120" s="71"/>
      <c r="AH120" s="71"/>
    </row>
    <row r="121" ht="39.75" customHeight="1">
      <c r="A121" s="67" t="s">
        <v>368</v>
      </c>
      <c r="B121" s="67" t="s">
        <v>343</v>
      </c>
      <c r="C121" s="67" t="s">
        <v>270</v>
      </c>
      <c r="D121" s="67" t="s">
        <v>369</v>
      </c>
      <c r="E121" s="67" t="s">
        <v>370</v>
      </c>
      <c r="F121" s="67" t="s">
        <v>51</v>
      </c>
      <c r="G121" s="67" t="s">
        <v>78</v>
      </c>
      <c r="H121" s="68"/>
      <c r="I121" s="68"/>
      <c r="J121" s="68"/>
      <c r="K121" s="68"/>
      <c r="L121" s="68"/>
      <c r="M121" s="68"/>
      <c r="N121" s="68"/>
      <c r="O121" s="68"/>
      <c r="P121" s="68"/>
      <c r="Q121" s="68">
        <v>46257.0</v>
      </c>
      <c r="R121" s="67" t="s">
        <v>64</v>
      </c>
      <c r="S121" s="67" t="s">
        <v>346</v>
      </c>
      <c r="T121" s="67" t="s">
        <v>41</v>
      </c>
      <c r="U121" s="67"/>
      <c r="V121" s="69"/>
      <c r="W121" s="69"/>
      <c r="X121" s="67"/>
      <c r="Y121" s="70"/>
      <c r="Z121" s="70"/>
      <c r="AA121" s="67" t="s">
        <v>371</v>
      </c>
      <c r="AB121" s="71"/>
      <c r="AC121" s="71"/>
      <c r="AD121" s="71"/>
      <c r="AE121" s="71"/>
      <c r="AF121" s="71"/>
      <c r="AG121" s="71"/>
      <c r="AH121" s="71"/>
    </row>
    <row r="122" ht="39.75" customHeight="1">
      <c r="A122" s="67" t="s">
        <v>372</v>
      </c>
      <c r="B122" s="67" t="s">
        <v>343</v>
      </c>
      <c r="C122" s="67" t="s">
        <v>270</v>
      </c>
      <c r="D122" s="67" t="s">
        <v>373</v>
      </c>
      <c r="E122" s="67" t="s">
        <v>374</v>
      </c>
      <c r="F122" s="67" t="s">
        <v>51</v>
      </c>
      <c r="G122" s="67" t="s">
        <v>63</v>
      </c>
      <c r="H122" s="68"/>
      <c r="I122" s="68"/>
      <c r="J122" s="68"/>
      <c r="K122" s="68"/>
      <c r="L122" s="68"/>
      <c r="M122" s="68"/>
      <c r="N122" s="68"/>
      <c r="O122" s="68"/>
      <c r="P122" s="68"/>
      <c r="Q122" s="68">
        <v>46257.0</v>
      </c>
      <c r="R122" s="67" t="s">
        <v>64</v>
      </c>
      <c r="S122" s="67" t="s">
        <v>346</v>
      </c>
      <c r="T122" s="67" t="s">
        <v>41</v>
      </c>
      <c r="U122" s="67"/>
      <c r="V122" s="69"/>
      <c r="W122" s="69"/>
      <c r="X122" s="67"/>
      <c r="Y122" s="70"/>
      <c r="Z122" s="70"/>
      <c r="AA122" s="67" t="s">
        <v>375</v>
      </c>
      <c r="AB122" s="71"/>
      <c r="AC122" s="71"/>
      <c r="AD122" s="71"/>
      <c r="AE122" s="71"/>
      <c r="AF122" s="71"/>
      <c r="AG122" s="71"/>
      <c r="AH122" s="71"/>
    </row>
    <row r="123" ht="39.75" customHeight="1">
      <c r="A123" s="67" t="s">
        <v>376</v>
      </c>
      <c r="B123" s="67" t="s">
        <v>343</v>
      </c>
      <c r="C123" s="67" t="s">
        <v>270</v>
      </c>
      <c r="D123" s="67" t="s">
        <v>377</v>
      </c>
      <c r="E123" s="67" t="s">
        <v>378</v>
      </c>
      <c r="F123" s="67" t="s">
        <v>51</v>
      </c>
      <c r="G123" s="67" t="s">
        <v>39</v>
      </c>
      <c r="H123" s="68"/>
      <c r="I123" s="68"/>
      <c r="J123" s="68"/>
      <c r="K123" s="68"/>
      <c r="L123" s="68"/>
      <c r="M123" s="68"/>
      <c r="N123" s="68"/>
      <c r="O123" s="68"/>
      <c r="P123" s="68"/>
      <c r="Q123" s="68">
        <v>46257.0</v>
      </c>
      <c r="R123" s="67" t="s">
        <v>64</v>
      </c>
      <c r="S123" s="67" t="s">
        <v>346</v>
      </c>
      <c r="T123" s="67" t="s">
        <v>41</v>
      </c>
      <c r="U123" s="67"/>
      <c r="V123" s="69"/>
      <c r="W123" s="69"/>
      <c r="X123" s="67"/>
      <c r="Y123" s="70"/>
      <c r="Z123" s="70"/>
      <c r="AA123" s="67" t="s">
        <v>379</v>
      </c>
      <c r="AB123" s="71"/>
      <c r="AC123" s="71"/>
      <c r="AD123" s="71"/>
      <c r="AE123" s="71"/>
      <c r="AF123" s="71"/>
      <c r="AG123" s="71"/>
      <c r="AH123" s="71"/>
    </row>
    <row r="124" ht="39.75" customHeight="1">
      <c r="A124" s="67" t="s">
        <v>380</v>
      </c>
      <c r="B124" s="67" t="s">
        <v>343</v>
      </c>
      <c r="C124" s="67" t="s">
        <v>270</v>
      </c>
      <c r="D124" s="67" t="s">
        <v>381</v>
      </c>
      <c r="E124" s="67" t="s">
        <v>382</v>
      </c>
      <c r="F124" s="67" t="s">
        <v>51</v>
      </c>
      <c r="G124" s="67" t="s">
        <v>63</v>
      </c>
      <c r="H124" s="68"/>
      <c r="I124" s="68"/>
      <c r="J124" s="68"/>
      <c r="K124" s="68"/>
      <c r="L124" s="68"/>
      <c r="M124" s="68"/>
      <c r="N124" s="68"/>
      <c r="O124" s="68"/>
      <c r="P124" s="68"/>
      <c r="Q124" s="68">
        <v>46257.0</v>
      </c>
      <c r="R124" s="67" t="s">
        <v>64</v>
      </c>
      <c r="S124" s="67" t="s">
        <v>346</v>
      </c>
      <c r="T124" s="67" t="s">
        <v>41</v>
      </c>
      <c r="U124" s="67"/>
      <c r="V124" s="69"/>
      <c r="W124" s="69"/>
      <c r="X124" s="67"/>
      <c r="Y124" s="70"/>
      <c r="Z124" s="70"/>
      <c r="AA124" s="67" t="s">
        <v>383</v>
      </c>
      <c r="AB124" s="71"/>
      <c r="AC124" s="71"/>
      <c r="AD124" s="71"/>
      <c r="AE124" s="71"/>
      <c r="AF124" s="71"/>
      <c r="AG124" s="71"/>
      <c r="AH124" s="71"/>
    </row>
    <row r="125" ht="39.75" customHeight="1">
      <c r="A125" s="67" t="s">
        <v>384</v>
      </c>
      <c r="B125" s="67" t="s">
        <v>343</v>
      </c>
      <c r="C125" s="67" t="s">
        <v>270</v>
      </c>
      <c r="D125" s="67" t="s">
        <v>385</v>
      </c>
      <c r="E125" s="67" t="s">
        <v>386</v>
      </c>
      <c r="F125" s="67" t="s">
        <v>51</v>
      </c>
      <c r="G125" s="67" t="s">
        <v>63</v>
      </c>
      <c r="H125" s="68"/>
      <c r="I125" s="68"/>
      <c r="J125" s="68"/>
      <c r="K125" s="68"/>
      <c r="L125" s="68"/>
      <c r="M125" s="68"/>
      <c r="N125" s="68"/>
      <c r="O125" s="68"/>
      <c r="P125" s="68"/>
      <c r="Q125" s="68">
        <v>46249.0</v>
      </c>
      <c r="R125" s="67" t="s">
        <v>64</v>
      </c>
      <c r="S125" s="67" t="s">
        <v>346</v>
      </c>
      <c r="T125" s="67" t="s">
        <v>41</v>
      </c>
      <c r="U125" s="67"/>
      <c r="V125" s="69"/>
      <c r="W125" s="69"/>
      <c r="X125" s="67"/>
      <c r="Y125" s="70"/>
      <c r="Z125" s="70"/>
      <c r="AA125" s="67" t="s">
        <v>387</v>
      </c>
      <c r="AB125" s="71"/>
      <c r="AC125" s="71"/>
      <c r="AD125" s="71"/>
      <c r="AE125" s="71"/>
      <c r="AF125" s="71"/>
      <c r="AG125" s="71"/>
      <c r="AH125" s="71"/>
    </row>
    <row r="126" ht="39.75" customHeight="1">
      <c r="A126" s="67" t="s">
        <v>388</v>
      </c>
      <c r="B126" s="67" t="s">
        <v>343</v>
      </c>
      <c r="C126" s="67" t="s">
        <v>270</v>
      </c>
      <c r="D126" s="67" t="s">
        <v>389</v>
      </c>
      <c r="E126" s="67" t="s">
        <v>390</v>
      </c>
      <c r="F126" s="67" t="s">
        <v>51</v>
      </c>
      <c r="G126" s="67" t="s">
        <v>63</v>
      </c>
      <c r="H126" s="68"/>
      <c r="I126" s="68"/>
      <c r="J126" s="68"/>
      <c r="K126" s="68"/>
      <c r="L126" s="68"/>
      <c r="M126" s="68"/>
      <c r="N126" s="68"/>
      <c r="O126" s="68"/>
      <c r="P126" s="68"/>
      <c r="Q126" s="68">
        <v>46252.0</v>
      </c>
      <c r="R126" s="67" t="s">
        <v>64</v>
      </c>
      <c r="S126" s="67" t="s">
        <v>346</v>
      </c>
      <c r="T126" s="67" t="s">
        <v>41</v>
      </c>
      <c r="U126" s="67"/>
      <c r="V126" s="69"/>
      <c r="W126" s="69"/>
      <c r="X126" s="67"/>
      <c r="Y126" s="70"/>
      <c r="Z126" s="70"/>
      <c r="AA126" s="67" t="s">
        <v>391</v>
      </c>
      <c r="AB126" s="71"/>
      <c r="AC126" s="71"/>
      <c r="AD126" s="71"/>
      <c r="AE126" s="71"/>
      <c r="AF126" s="71"/>
      <c r="AG126" s="71"/>
      <c r="AH126" s="71"/>
    </row>
    <row r="127" ht="39.75" customHeight="1">
      <c r="A127" s="67" t="s">
        <v>392</v>
      </c>
      <c r="B127" s="67" t="s">
        <v>343</v>
      </c>
      <c r="C127" s="67" t="s">
        <v>270</v>
      </c>
      <c r="D127" s="67" t="s">
        <v>393</v>
      </c>
      <c r="E127" s="67" t="s">
        <v>394</v>
      </c>
      <c r="F127" s="67" t="s">
        <v>51</v>
      </c>
      <c r="G127" s="67" t="s">
        <v>63</v>
      </c>
      <c r="H127" s="68"/>
      <c r="I127" s="68"/>
      <c r="J127" s="68"/>
      <c r="K127" s="68"/>
      <c r="L127" s="68"/>
      <c r="M127" s="68"/>
      <c r="N127" s="68"/>
      <c r="O127" s="68"/>
      <c r="P127" s="68"/>
      <c r="Q127" s="68">
        <v>46241.0</v>
      </c>
      <c r="R127" s="67" t="s">
        <v>64</v>
      </c>
      <c r="S127" s="67" t="s">
        <v>346</v>
      </c>
      <c r="T127" s="67" t="s">
        <v>41</v>
      </c>
      <c r="U127" s="67"/>
      <c r="V127" s="69"/>
      <c r="W127" s="69"/>
      <c r="X127" s="67"/>
      <c r="Y127" s="70"/>
      <c r="Z127" s="70"/>
      <c r="AA127" s="67" t="s">
        <v>395</v>
      </c>
      <c r="AB127" s="71"/>
      <c r="AC127" s="71"/>
      <c r="AD127" s="71"/>
      <c r="AE127" s="71"/>
      <c r="AF127" s="71"/>
      <c r="AG127" s="71"/>
      <c r="AH127" s="71"/>
    </row>
    <row r="128" ht="39.75" customHeight="1">
      <c r="A128" s="67" t="s">
        <v>396</v>
      </c>
      <c r="B128" s="67" t="s">
        <v>343</v>
      </c>
      <c r="C128" s="67" t="s">
        <v>270</v>
      </c>
      <c r="D128" s="67" t="s">
        <v>397</v>
      </c>
      <c r="E128" s="67" t="s">
        <v>398</v>
      </c>
      <c r="F128" s="67" t="s">
        <v>51</v>
      </c>
      <c r="G128" s="67" t="s">
        <v>63</v>
      </c>
      <c r="H128" s="68"/>
      <c r="I128" s="68"/>
      <c r="J128" s="68"/>
      <c r="K128" s="68"/>
      <c r="L128" s="68"/>
      <c r="M128" s="68"/>
      <c r="N128" s="68"/>
      <c r="O128" s="68"/>
      <c r="P128" s="68"/>
      <c r="Q128" s="68">
        <v>46246.0</v>
      </c>
      <c r="R128" s="67" t="s">
        <v>64</v>
      </c>
      <c r="S128" s="67" t="s">
        <v>346</v>
      </c>
      <c r="T128" s="67" t="s">
        <v>41</v>
      </c>
      <c r="U128" s="67"/>
      <c r="V128" s="69"/>
      <c r="W128" s="69"/>
      <c r="X128" s="67"/>
      <c r="Y128" s="70"/>
      <c r="Z128" s="70"/>
      <c r="AA128" s="67" t="s">
        <v>399</v>
      </c>
      <c r="AB128" s="71"/>
      <c r="AC128" s="71"/>
      <c r="AD128" s="71"/>
      <c r="AE128" s="71"/>
      <c r="AF128" s="71"/>
      <c r="AG128" s="71"/>
      <c r="AH128" s="71"/>
    </row>
    <row r="129" ht="39.75" customHeight="1">
      <c r="A129" s="67" t="s">
        <v>400</v>
      </c>
      <c r="B129" s="67" t="s">
        <v>343</v>
      </c>
      <c r="C129" s="67" t="s">
        <v>270</v>
      </c>
      <c r="D129" s="67" t="s">
        <v>401</v>
      </c>
      <c r="E129" s="67" t="s">
        <v>402</v>
      </c>
      <c r="F129" s="67" t="s">
        <v>51</v>
      </c>
      <c r="G129" s="67" t="s">
        <v>78</v>
      </c>
      <c r="H129" s="68"/>
      <c r="I129" s="68"/>
      <c r="J129" s="68"/>
      <c r="K129" s="68"/>
      <c r="L129" s="68"/>
      <c r="M129" s="68"/>
      <c r="N129" s="68"/>
      <c r="O129" s="68"/>
      <c r="P129" s="68"/>
      <c r="Q129" s="68">
        <v>46257.0</v>
      </c>
      <c r="R129" s="67" t="s">
        <v>64</v>
      </c>
      <c r="S129" s="67" t="s">
        <v>346</v>
      </c>
      <c r="T129" s="67" t="s">
        <v>41</v>
      </c>
      <c r="U129" s="67"/>
      <c r="V129" s="69"/>
      <c r="W129" s="69"/>
      <c r="X129" s="67"/>
      <c r="Y129" s="70"/>
      <c r="Z129" s="70"/>
      <c r="AA129" s="67" t="s">
        <v>403</v>
      </c>
      <c r="AB129" s="71"/>
      <c r="AC129" s="71"/>
      <c r="AD129" s="71"/>
      <c r="AE129" s="71"/>
      <c r="AF129" s="71"/>
      <c r="AG129" s="71"/>
      <c r="AH129" s="71"/>
    </row>
    <row r="130" ht="17.25" customHeight="1">
      <c r="A130" s="20"/>
      <c r="B130" s="20"/>
      <c r="C130" s="20"/>
      <c r="D130" s="20"/>
      <c r="E130" s="20"/>
      <c r="F130" s="20"/>
      <c r="G130" s="20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0"/>
      <c r="S130" s="20"/>
      <c r="T130" s="20"/>
      <c r="U130" s="20"/>
      <c r="V130" s="22"/>
      <c r="W130" s="22"/>
      <c r="X130" s="20"/>
      <c r="Y130" s="23"/>
      <c r="Z130" s="23"/>
      <c r="AA130" s="20"/>
      <c r="AB130" s="24"/>
      <c r="AC130" s="24"/>
      <c r="AD130" s="24"/>
      <c r="AE130" s="24"/>
      <c r="AF130" s="24"/>
      <c r="AG130" s="24"/>
      <c r="AH130" s="24"/>
    </row>
    <row r="131" ht="30.0" customHeight="1">
      <c r="A131" s="25" t="s">
        <v>404</v>
      </c>
      <c r="B131" s="47"/>
      <c r="C131" s="26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4"/>
      <c r="AC131" s="14"/>
      <c r="AD131" s="14"/>
      <c r="AE131" s="14"/>
      <c r="AF131" s="14"/>
      <c r="AG131" s="14"/>
      <c r="AH131" s="14"/>
    </row>
    <row r="132" ht="17.25" customHeight="1">
      <c r="A132" s="20"/>
      <c r="B132" s="72" t="s">
        <v>35</v>
      </c>
      <c r="C132" s="72" t="s">
        <v>405</v>
      </c>
      <c r="D132" s="72" t="s">
        <v>406</v>
      </c>
      <c r="E132" s="20"/>
      <c r="F132" s="72" t="s">
        <v>38</v>
      </c>
      <c r="G132" s="20"/>
      <c r="H132" s="21"/>
      <c r="I132" s="21"/>
      <c r="J132" s="21"/>
      <c r="K132" s="21"/>
      <c r="L132" s="21"/>
      <c r="M132" s="21"/>
      <c r="N132" s="21"/>
      <c r="O132" s="73"/>
      <c r="P132" s="21"/>
      <c r="Q132" s="21"/>
      <c r="R132" s="20"/>
      <c r="S132" s="20"/>
      <c r="T132" s="20"/>
      <c r="U132" s="20"/>
      <c r="V132" s="22"/>
      <c r="W132" s="22"/>
      <c r="X132" s="20"/>
      <c r="Y132" s="23"/>
      <c r="Z132" s="23"/>
      <c r="AA132" s="20"/>
      <c r="AB132" s="24"/>
      <c r="AC132" s="24"/>
      <c r="AD132" s="24"/>
      <c r="AE132" s="24"/>
      <c r="AF132" s="24"/>
      <c r="AG132" s="24"/>
      <c r="AH132" s="24"/>
    </row>
    <row r="133" ht="17.25" customHeight="1">
      <c r="A133" s="20"/>
      <c r="B133" s="72" t="s">
        <v>35</v>
      </c>
      <c r="C133" s="72" t="s">
        <v>405</v>
      </c>
      <c r="D133" s="72" t="s">
        <v>407</v>
      </c>
      <c r="E133" s="20"/>
      <c r="F133" s="72" t="s">
        <v>38</v>
      </c>
      <c r="G133" s="20"/>
      <c r="H133" s="21"/>
      <c r="I133" s="21"/>
      <c r="J133" s="21"/>
      <c r="K133" s="21"/>
      <c r="L133" s="21"/>
      <c r="M133" s="21"/>
      <c r="N133" s="21"/>
      <c r="O133" s="73"/>
      <c r="P133" s="21"/>
      <c r="Q133" s="21"/>
      <c r="R133" s="20"/>
      <c r="S133" s="20"/>
      <c r="T133" s="20"/>
      <c r="U133" s="20"/>
      <c r="V133" s="22"/>
      <c r="W133" s="22"/>
      <c r="X133" s="20"/>
      <c r="Y133" s="23"/>
      <c r="Z133" s="23"/>
      <c r="AA133" s="20"/>
      <c r="AB133" s="24"/>
      <c r="AC133" s="24"/>
      <c r="AD133" s="24"/>
      <c r="AE133" s="24"/>
      <c r="AF133" s="24"/>
      <c r="AG133" s="24"/>
      <c r="AH133" s="24"/>
    </row>
    <row r="134" ht="17.25" customHeight="1">
      <c r="A134" s="20"/>
      <c r="B134" s="72" t="s">
        <v>35</v>
      </c>
      <c r="C134" s="72" t="s">
        <v>405</v>
      </c>
      <c r="D134" s="72" t="s">
        <v>408</v>
      </c>
      <c r="E134" s="20"/>
      <c r="F134" s="72" t="s">
        <v>38</v>
      </c>
      <c r="G134" s="20"/>
      <c r="H134" s="32"/>
      <c r="I134" s="21"/>
      <c r="J134" s="21"/>
      <c r="K134" s="21"/>
      <c r="L134" s="21"/>
      <c r="M134" s="21"/>
      <c r="N134" s="21"/>
      <c r="O134" s="73"/>
      <c r="P134" s="21"/>
      <c r="Q134" s="21"/>
      <c r="R134" s="20"/>
      <c r="S134" s="20"/>
      <c r="T134" s="20"/>
      <c r="U134" s="20"/>
      <c r="V134" s="22"/>
      <c r="W134" s="22"/>
      <c r="X134" s="20"/>
      <c r="Y134" s="23"/>
      <c r="Z134" s="23"/>
      <c r="AA134" s="20"/>
      <c r="AB134" s="24"/>
      <c r="AC134" s="24"/>
      <c r="AD134" s="24"/>
      <c r="AE134" s="24"/>
      <c r="AF134" s="24"/>
      <c r="AG134" s="24"/>
      <c r="AH134" s="24"/>
    </row>
    <row r="135" ht="17.25" customHeight="1">
      <c r="A135" s="20"/>
      <c r="B135" s="72" t="s">
        <v>35</v>
      </c>
      <c r="C135" s="72" t="s">
        <v>405</v>
      </c>
      <c r="D135" s="72" t="s">
        <v>409</v>
      </c>
      <c r="E135" s="20"/>
      <c r="F135" s="72" t="s">
        <v>38</v>
      </c>
      <c r="G135" s="20"/>
      <c r="H135" s="32"/>
      <c r="I135" s="21"/>
      <c r="J135" s="21"/>
      <c r="K135" s="21"/>
      <c r="L135" s="21"/>
      <c r="M135" s="21"/>
      <c r="N135" s="21"/>
      <c r="O135" s="73"/>
      <c r="P135" s="21"/>
      <c r="Q135" s="21"/>
      <c r="R135" s="20"/>
      <c r="S135" s="20"/>
      <c r="T135" s="20"/>
      <c r="U135" s="20"/>
      <c r="V135" s="22"/>
      <c r="W135" s="22"/>
      <c r="X135" s="20"/>
      <c r="Y135" s="23"/>
      <c r="Z135" s="23"/>
      <c r="AA135" s="20"/>
      <c r="AB135" s="24"/>
      <c r="AC135" s="24"/>
      <c r="AD135" s="24"/>
      <c r="AE135" s="24"/>
      <c r="AF135" s="24"/>
      <c r="AG135" s="24"/>
      <c r="AH135" s="24"/>
    </row>
    <row r="136" ht="17.25" customHeight="1">
      <c r="A136" s="20"/>
      <c r="B136" s="72" t="s">
        <v>35</v>
      </c>
      <c r="C136" s="72" t="s">
        <v>405</v>
      </c>
      <c r="D136" s="72" t="s">
        <v>410</v>
      </c>
      <c r="E136" s="20"/>
      <c r="F136" s="72" t="s">
        <v>38</v>
      </c>
      <c r="G136" s="20"/>
      <c r="H136" s="21"/>
      <c r="I136" s="21"/>
      <c r="J136" s="21"/>
      <c r="K136" s="21"/>
      <c r="L136" s="21"/>
      <c r="M136" s="21"/>
      <c r="N136" s="21"/>
      <c r="O136" s="73"/>
      <c r="P136" s="21"/>
      <c r="Q136" s="21"/>
      <c r="R136" s="20"/>
      <c r="S136" s="20"/>
      <c r="T136" s="20"/>
      <c r="U136" s="20"/>
      <c r="V136" s="22"/>
      <c r="W136" s="22"/>
      <c r="X136" s="20"/>
      <c r="Y136" s="23"/>
      <c r="Z136" s="23"/>
      <c r="AA136" s="20"/>
      <c r="AB136" s="24"/>
      <c r="AC136" s="24"/>
      <c r="AD136" s="24"/>
      <c r="AE136" s="24"/>
      <c r="AF136" s="24"/>
      <c r="AG136" s="24"/>
      <c r="AH136" s="24"/>
    </row>
    <row r="137" ht="17.25" customHeight="1">
      <c r="A137" s="20"/>
      <c r="B137" s="72" t="s">
        <v>35</v>
      </c>
      <c r="C137" s="72" t="s">
        <v>405</v>
      </c>
      <c r="D137" s="72" t="s">
        <v>411</v>
      </c>
      <c r="E137" s="20"/>
      <c r="F137" s="72" t="s">
        <v>38</v>
      </c>
      <c r="G137" s="20"/>
      <c r="H137" s="21"/>
      <c r="I137" s="21"/>
      <c r="J137" s="21"/>
      <c r="K137" s="21"/>
      <c r="L137" s="21"/>
      <c r="M137" s="21"/>
      <c r="N137" s="21"/>
      <c r="O137" s="73"/>
      <c r="P137" s="21"/>
      <c r="Q137" s="21"/>
      <c r="R137" s="20"/>
      <c r="S137" s="20"/>
      <c r="T137" s="20"/>
      <c r="U137" s="20"/>
      <c r="V137" s="22"/>
      <c r="W137" s="22"/>
      <c r="X137" s="20"/>
      <c r="Y137" s="23"/>
      <c r="Z137" s="23"/>
      <c r="AA137" s="20"/>
      <c r="AB137" s="24"/>
      <c r="AC137" s="24"/>
      <c r="AD137" s="24"/>
      <c r="AE137" s="24"/>
      <c r="AF137" s="24"/>
      <c r="AG137" s="24"/>
      <c r="AH137" s="24"/>
    </row>
    <row r="138" ht="17.25" customHeight="1">
      <c r="A138" s="20"/>
      <c r="B138" s="72" t="s">
        <v>35</v>
      </c>
      <c r="C138" s="72" t="s">
        <v>405</v>
      </c>
      <c r="D138" s="72" t="s">
        <v>412</v>
      </c>
      <c r="E138" s="20"/>
      <c r="F138" s="72" t="s">
        <v>38</v>
      </c>
      <c r="G138" s="20"/>
      <c r="H138" s="21"/>
      <c r="I138" s="21"/>
      <c r="J138" s="21"/>
      <c r="K138" s="21"/>
      <c r="L138" s="21"/>
      <c r="M138" s="21"/>
      <c r="N138" s="21"/>
      <c r="O138" s="73"/>
      <c r="P138" s="21"/>
      <c r="Q138" s="21"/>
      <c r="R138" s="20"/>
      <c r="S138" s="20"/>
      <c r="T138" s="20"/>
      <c r="U138" s="20"/>
      <c r="V138" s="22"/>
      <c r="W138" s="22"/>
      <c r="X138" s="20"/>
      <c r="Y138" s="23"/>
      <c r="Z138" s="23"/>
      <c r="AA138" s="20"/>
      <c r="AB138" s="24"/>
      <c r="AC138" s="24"/>
      <c r="AD138" s="24"/>
      <c r="AE138" s="24"/>
      <c r="AF138" s="24"/>
      <c r="AG138" s="24"/>
      <c r="AH138" s="24"/>
    </row>
    <row r="139" ht="17.25" customHeight="1">
      <c r="A139" s="20"/>
      <c r="B139" s="20"/>
      <c r="C139" s="20"/>
      <c r="D139" s="20"/>
      <c r="E139" s="20"/>
      <c r="F139" s="20"/>
      <c r="G139" s="20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0"/>
      <c r="S139" s="20"/>
      <c r="T139" s="20"/>
      <c r="U139" s="20"/>
      <c r="V139" s="22"/>
      <c r="W139" s="22"/>
      <c r="X139" s="20"/>
      <c r="Y139" s="23"/>
      <c r="Z139" s="23"/>
      <c r="AA139" s="20"/>
      <c r="AB139" s="24"/>
      <c r="AC139" s="24"/>
      <c r="AD139" s="24"/>
      <c r="AE139" s="24"/>
      <c r="AF139" s="24"/>
      <c r="AG139" s="24"/>
      <c r="AH139" s="24"/>
    </row>
    <row r="140" ht="123.75" customHeight="1">
      <c r="A140" s="20"/>
      <c r="B140" s="20"/>
      <c r="C140" s="20"/>
      <c r="D140" s="20"/>
      <c r="E140" s="20"/>
      <c r="F140" s="20"/>
      <c r="G140" s="20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0"/>
      <c r="S140" s="20"/>
      <c r="T140" s="20"/>
      <c r="U140" s="20"/>
      <c r="V140" s="22"/>
      <c r="W140" s="22"/>
      <c r="X140" s="20"/>
      <c r="Y140" s="23"/>
      <c r="Z140" s="23"/>
      <c r="AA140" s="20"/>
      <c r="AB140" s="24"/>
      <c r="AC140" s="24"/>
      <c r="AD140" s="24"/>
      <c r="AE140" s="24"/>
      <c r="AF140" s="24"/>
      <c r="AG140" s="24"/>
      <c r="AH140" s="24"/>
    </row>
    <row r="141" ht="30.0" customHeight="1">
      <c r="A141" s="46" t="s">
        <v>413</v>
      </c>
      <c r="B141" s="47"/>
      <c r="C141" s="26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4"/>
      <c r="AC141" s="14"/>
      <c r="AD141" s="14"/>
      <c r="AE141" s="14"/>
      <c r="AF141" s="14"/>
      <c r="AG141" s="14"/>
      <c r="AH141" s="14"/>
    </row>
    <row r="142" ht="39.75" customHeight="1">
      <c r="A142" s="61" t="s">
        <v>414</v>
      </c>
      <c r="B142" s="61" t="s">
        <v>35</v>
      </c>
      <c r="C142" s="61" t="s">
        <v>413</v>
      </c>
      <c r="D142" s="61" t="s">
        <v>415</v>
      </c>
      <c r="E142" s="61" t="s">
        <v>416</v>
      </c>
      <c r="F142" s="61" t="s">
        <v>172</v>
      </c>
      <c r="G142" s="61" t="s">
        <v>63</v>
      </c>
      <c r="H142" s="63">
        <v>46232.0</v>
      </c>
      <c r="I142" s="63"/>
      <c r="J142" s="63"/>
      <c r="K142" s="63"/>
      <c r="L142" s="63"/>
      <c r="M142" s="63"/>
      <c r="N142" s="63"/>
      <c r="O142" s="63"/>
      <c r="P142" s="63"/>
      <c r="Q142" s="63">
        <v>46239.0</v>
      </c>
      <c r="R142" s="61" t="s">
        <v>64</v>
      </c>
      <c r="S142" s="61" t="s">
        <v>417</v>
      </c>
      <c r="T142" s="61" t="s">
        <v>41</v>
      </c>
      <c r="U142" s="61" t="s">
        <v>110</v>
      </c>
      <c r="V142" s="64"/>
      <c r="W142" s="64"/>
      <c r="X142" s="61"/>
      <c r="Y142" s="65"/>
      <c r="Z142" s="65"/>
      <c r="AA142" s="61"/>
      <c r="AB142" s="66"/>
      <c r="AC142" s="66"/>
      <c r="AD142" s="66"/>
      <c r="AE142" s="66"/>
      <c r="AF142" s="66"/>
      <c r="AG142" s="66"/>
      <c r="AH142" s="66"/>
    </row>
    <row r="143" ht="39.75" customHeight="1">
      <c r="A143" s="61" t="s">
        <v>418</v>
      </c>
      <c r="B143" s="61" t="s">
        <v>35</v>
      </c>
      <c r="C143" s="61" t="s">
        <v>413</v>
      </c>
      <c r="D143" s="61" t="s">
        <v>419</v>
      </c>
      <c r="E143" s="61" t="s">
        <v>420</v>
      </c>
      <c r="F143" s="61" t="s">
        <v>172</v>
      </c>
      <c r="G143" s="61" t="s">
        <v>63</v>
      </c>
      <c r="H143" s="63">
        <v>46239.0</v>
      </c>
      <c r="I143" s="63"/>
      <c r="J143" s="63"/>
      <c r="K143" s="63"/>
      <c r="L143" s="63"/>
      <c r="M143" s="63"/>
      <c r="N143" s="63"/>
      <c r="O143" s="63"/>
      <c r="P143" s="63"/>
      <c r="Q143" s="63">
        <v>46246.0</v>
      </c>
      <c r="R143" s="61" t="s">
        <v>64</v>
      </c>
      <c r="S143" s="61" t="s">
        <v>421</v>
      </c>
      <c r="T143" s="61" t="s">
        <v>41</v>
      </c>
      <c r="U143" s="61" t="s">
        <v>96</v>
      </c>
      <c r="V143" s="64"/>
      <c r="W143" s="64"/>
      <c r="X143" s="61"/>
      <c r="Y143" s="65"/>
      <c r="Z143" s="65"/>
      <c r="AA143" s="61"/>
      <c r="AB143" s="66"/>
      <c r="AC143" s="66"/>
      <c r="AD143" s="66"/>
      <c r="AE143" s="66"/>
      <c r="AF143" s="66"/>
      <c r="AG143" s="66"/>
      <c r="AH143" s="66"/>
    </row>
    <row r="144" ht="39.75" customHeight="1">
      <c r="A144" s="61" t="s">
        <v>422</v>
      </c>
      <c r="B144" s="61" t="s">
        <v>35</v>
      </c>
      <c r="C144" s="61" t="s">
        <v>413</v>
      </c>
      <c r="D144" s="61" t="s">
        <v>423</v>
      </c>
      <c r="E144" s="61" t="s">
        <v>424</v>
      </c>
      <c r="F144" s="61" t="s">
        <v>172</v>
      </c>
      <c r="G144" s="61" t="s">
        <v>63</v>
      </c>
      <c r="H144" s="63">
        <v>46235.0</v>
      </c>
      <c r="I144" s="63"/>
      <c r="J144" s="63"/>
      <c r="K144" s="63"/>
      <c r="L144" s="63"/>
      <c r="M144" s="63"/>
      <c r="N144" s="63"/>
      <c r="O144" s="63"/>
      <c r="P144" s="63"/>
      <c r="Q144" s="63">
        <v>46257.0</v>
      </c>
      <c r="R144" s="61" t="s">
        <v>64</v>
      </c>
      <c r="S144" s="61" t="s">
        <v>425</v>
      </c>
      <c r="T144" s="61" t="s">
        <v>41</v>
      </c>
      <c r="U144" s="61" t="s">
        <v>426</v>
      </c>
      <c r="V144" s="64"/>
      <c r="W144" s="64"/>
      <c r="X144" s="61"/>
      <c r="Y144" s="65"/>
      <c r="Z144" s="65"/>
      <c r="AA144" s="61"/>
      <c r="AB144" s="66"/>
      <c r="AC144" s="66"/>
      <c r="AD144" s="66"/>
      <c r="AE144" s="66"/>
      <c r="AF144" s="66"/>
      <c r="AG144" s="66"/>
      <c r="AH144" s="66"/>
    </row>
    <row r="145" ht="39.75" customHeight="1">
      <c r="A145" s="61" t="s">
        <v>427</v>
      </c>
      <c r="B145" s="61" t="s">
        <v>35</v>
      </c>
      <c r="C145" s="61" t="s">
        <v>413</v>
      </c>
      <c r="D145" s="61" t="s">
        <v>428</v>
      </c>
      <c r="E145" s="61" t="s">
        <v>429</v>
      </c>
      <c r="F145" s="61" t="s">
        <v>51</v>
      </c>
      <c r="G145" s="61" t="s">
        <v>63</v>
      </c>
      <c r="H145" s="63">
        <v>46328.0</v>
      </c>
      <c r="I145" s="63"/>
      <c r="J145" s="63"/>
      <c r="K145" s="63"/>
      <c r="L145" s="63"/>
      <c r="M145" s="63"/>
      <c r="N145" s="63"/>
      <c r="O145" s="63"/>
      <c r="P145" s="63"/>
      <c r="Q145" s="63">
        <v>46418.0</v>
      </c>
      <c r="R145" s="61" t="s">
        <v>64</v>
      </c>
      <c r="S145" s="61" t="s">
        <v>430</v>
      </c>
      <c r="T145" s="61" t="s">
        <v>53</v>
      </c>
      <c r="U145" s="61" t="s">
        <v>431</v>
      </c>
      <c r="V145" s="64"/>
      <c r="W145" s="64"/>
      <c r="X145" s="61"/>
      <c r="Y145" s="65"/>
      <c r="Z145" s="65"/>
      <c r="AA145" s="61"/>
      <c r="AB145" s="66"/>
      <c r="AC145" s="66"/>
      <c r="AD145" s="66"/>
      <c r="AE145" s="66"/>
      <c r="AF145" s="66"/>
      <c r="AG145" s="66"/>
      <c r="AH145" s="66"/>
    </row>
    <row r="146" ht="39.75" customHeight="1">
      <c r="A146" s="61" t="s">
        <v>432</v>
      </c>
      <c r="B146" s="61" t="s">
        <v>35</v>
      </c>
      <c r="C146" s="61" t="s">
        <v>413</v>
      </c>
      <c r="D146" s="61" t="s">
        <v>433</v>
      </c>
      <c r="E146" s="61" t="s">
        <v>434</v>
      </c>
      <c r="F146" s="61" t="s">
        <v>51</v>
      </c>
      <c r="G146" s="61" t="s">
        <v>63</v>
      </c>
      <c r="H146" s="63">
        <v>46402.0</v>
      </c>
      <c r="I146" s="63"/>
      <c r="J146" s="63"/>
      <c r="K146" s="63"/>
      <c r="L146" s="63"/>
      <c r="M146" s="63"/>
      <c r="N146" s="63"/>
      <c r="O146" s="63"/>
      <c r="P146" s="63"/>
      <c r="Q146" s="63">
        <v>46433.0</v>
      </c>
      <c r="R146" s="61" t="s">
        <v>64</v>
      </c>
      <c r="S146" s="61" t="s">
        <v>435</v>
      </c>
      <c r="T146" s="61" t="s">
        <v>53</v>
      </c>
      <c r="U146" s="61" t="s">
        <v>436</v>
      </c>
      <c r="V146" s="64"/>
      <c r="W146" s="64"/>
      <c r="X146" s="61"/>
      <c r="Y146" s="65"/>
      <c r="Z146" s="65"/>
      <c r="AA146" s="61"/>
      <c r="AB146" s="66"/>
      <c r="AC146" s="66"/>
      <c r="AD146" s="66"/>
      <c r="AE146" s="66"/>
      <c r="AF146" s="66"/>
      <c r="AG146" s="66"/>
      <c r="AH146" s="66"/>
    </row>
    <row r="147" ht="39.75" customHeight="1">
      <c r="A147" s="61" t="s">
        <v>437</v>
      </c>
      <c r="B147" s="61" t="s">
        <v>35</v>
      </c>
      <c r="C147" s="61" t="s">
        <v>413</v>
      </c>
      <c r="D147" s="61" t="s">
        <v>438</v>
      </c>
      <c r="E147" s="61" t="s">
        <v>439</v>
      </c>
      <c r="F147" s="61" t="s">
        <v>51</v>
      </c>
      <c r="G147" s="61" t="s">
        <v>63</v>
      </c>
      <c r="H147" s="63">
        <v>46419.0</v>
      </c>
      <c r="I147" s="63"/>
      <c r="J147" s="63"/>
      <c r="K147" s="63"/>
      <c r="L147" s="63"/>
      <c r="M147" s="63"/>
      <c r="N147" s="63"/>
      <c r="O147" s="63"/>
      <c r="P147" s="63"/>
      <c r="Q147" s="63">
        <v>46477.0</v>
      </c>
      <c r="R147" s="61" t="s">
        <v>64</v>
      </c>
      <c r="S147" s="61" t="s">
        <v>440</v>
      </c>
      <c r="T147" s="61" t="s">
        <v>53</v>
      </c>
      <c r="U147" s="61" t="s">
        <v>441</v>
      </c>
      <c r="V147" s="64"/>
      <c r="W147" s="64"/>
      <c r="X147" s="61"/>
      <c r="Y147" s="65"/>
      <c r="Z147" s="65"/>
      <c r="AA147" s="61"/>
      <c r="AB147" s="66"/>
      <c r="AC147" s="66"/>
      <c r="AD147" s="66"/>
      <c r="AE147" s="66"/>
      <c r="AF147" s="66"/>
      <c r="AG147" s="66"/>
      <c r="AH147" s="66"/>
    </row>
    <row r="148" ht="39.75" customHeight="1">
      <c r="A148" s="61" t="s">
        <v>442</v>
      </c>
      <c r="B148" s="61" t="s">
        <v>35</v>
      </c>
      <c r="C148" s="61" t="s">
        <v>413</v>
      </c>
      <c r="D148" s="61" t="s">
        <v>443</v>
      </c>
      <c r="E148" s="61" t="s">
        <v>444</v>
      </c>
      <c r="F148" s="61" t="s">
        <v>172</v>
      </c>
      <c r="G148" s="61" t="s">
        <v>63</v>
      </c>
      <c r="H148" s="63">
        <v>46341.0</v>
      </c>
      <c r="I148" s="63"/>
      <c r="J148" s="63"/>
      <c r="K148" s="63"/>
      <c r="L148" s="63"/>
      <c r="M148" s="63"/>
      <c r="N148" s="63"/>
      <c r="O148" s="63"/>
      <c r="P148" s="63"/>
      <c r="Q148" s="63">
        <v>46371.0</v>
      </c>
      <c r="R148" s="61" t="s">
        <v>64</v>
      </c>
      <c r="S148" s="61" t="s">
        <v>445</v>
      </c>
      <c r="T148" s="61" t="s">
        <v>53</v>
      </c>
      <c r="U148" s="61" t="s">
        <v>105</v>
      </c>
      <c r="V148" s="64"/>
      <c r="W148" s="64"/>
      <c r="X148" s="61"/>
      <c r="Y148" s="65"/>
      <c r="Z148" s="65"/>
      <c r="AA148" s="61"/>
      <c r="AB148" s="66"/>
      <c r="AC148" s="66"/>
      <c r="AD148" s="66"/>
      <c r="AE148" s="66"/>
      <c r="AF148" s="66"/>
      <c r="AG148" s="66"/>
      <c r="AH148" s="66"/>
    </row>
    <row r="149" ht="39.75" customHeight="1">
      <c r="A149" s="61" t="s">
        <v>446</v>
      </c>
      <c r="B149" s="61" t="s">
        <v>35</v>
      </c>
      <c r="C149" s="61" t="s">
        <v>413</v>
      </c>
      <c r="D149" s="61" t="s">
        <v>447</v>
      </c>
      <c r="E149" s="61" t="s">
        <v>448</v>
      </c>
      <c r="F149" s="61" t="s">
        <v>172</v>
      </c>
      <c r="G149" s="61" t="s">
        <v>63</v>
      </c>
      <c r="H149" s="63">
        <v>46388.0</v>
      </c>
      <c r="I149" s="63"/>
      <c r="J149" s="63"/>
      <c r="K149" s="63"/>
      <c r="L149" s="63"/>
      <c r="M149" s="63"/>
      <c r="N149" s="63"/>
      <c r="O149" s="63"/>
      <c r="P149" s="63"/>
      <c r="Q149" s="63">
        <v>46507.0</v>
      </c>
      <c r="R149" s="61" t="s">
        <v>64</v>
      </c>
      <c r="S149" s="61" t="s">
        <v>449</v>
      </c>
      <c r="T149" s="61" t="s">
        <v>53</v>
      </c>
      <c r="U149" s="61" t="s">
        <v>450</v>
      </c>
      <c r="V149" s="64"/>
      <c r="W149" s="64"/>
      <c r="X149" s="61"/>
      <c r="Y149" s="65"/>
      <c r="Z149" s="65"/>
      <c r="AA149" s="61"/>
      <c r="AB149" s="66"/>
      <c r="AC149" s="66"/>
      <c r="AD149" s="66"/>
      <c r="AE149" s="66"/>
      <c r="AF149" s="66"/>
      <c r="AG149" s="66"/>
      <c r="AH149" s="66"/>
    </row>
    <row r="150" ht="39.75" customHeight="1">
      <c r="A150" s="61" t="s">
        <v>451</v>
      </c>
      <c r="B150" s="61" t="s">
        <v>35</v>
      </c>
      <c r="C150" s="61" t="s">
        <v>413</v>
      </c>
      <c r="D150" s="61" t="s">
        <v>452</v>
      </c>
      <c r="E150" s="61" t="s">
        <v>453</v>
      </c>
      <c r="F150" s="61" t="s">
        <v>172</v>
      </c>
      <c r="G150" s="61" t="s">
        <v>63</v>
      </c>
      <c r="H150" s="63">
        <v>46478.0</v>
      </c>
      <c r="I150" s="63"/>
      <c r="J150" s="63"/>
      <c r="K150" s="63"/>
      <c r="L150" s="63"/>
      <c r="M150" s="63"/>
      <c r="N150" s="63"/>
      <c r="O150" s="63"/>
      <c r="P150" s="63"/>
      <c r="Q150" s="63">
        <v>46630.0</v>
      </c>
      <c r="R150" s="61" t="s">
        <v>64</v>
      </c>
      <c r="S150" s="61" t="s">
        <v>454</v>
      </c>
      <c r="T150" s="61" t="s">
        <v>53</v>
      </c>
      <c r="U150" s="61" t="s">
        <v>455</v>
      </c>
      <c r="V150" s="64"/>
      <c r="W150" s="64"/>
      <c r="X150" s="61"/>
      <c r="Y150" s="65"/>
      <c r="Z150" s="65"/>
      <c r="AA150" s="61"/>
      <c r="AB150" s="66"/>
      <c r="AC150" s="66"/>
      <c r="AD150" s="66"/>
      <c r="AE150" s="66"/>
      <c r="AF150" s="66"/>
      <c r="AG150" s="66"/>
      <c r="AH150" s="66"/>
    </row>
    <row r="151" ht="39.75" customHeight="1">
      <c r="A151" s="61" t="s">
        <v>456</v>
      </c>
      <c r="B151" s="61" t="s">
        <v>35</v>
      </c>
      <c r="C151" s="61" t="s">
        <v>413</v>
      </c>
      <c r="D151" s="61" t="s">
        <v>457</v>
      </c>
      <c r="E151" s="61" t="s">
        <v>458</v>
      </c>
      <c r="F151" s="61" t="s">
        <v>172</v>
      </c>
      <c r="G151" s="61" t="s">
        <v>63</v>
      </c>
      <c r="H151" s="63">
        <v>46402.0</v>
      </c>
      <c r="I151" s="63"/>
      <c r="J151" s="63"/>
      <c r="K151" s="63"/>
      <c r="L151" s="63"/>
      <c r="M151" s="63"/>
      <c r="N151" s="63"/>
      <c r="O151" s="63"/>
      <c r="P151" s="63"/>
      <c r="Q151" s="63">
        <v>46446.0</v>
      </c>
      <c r="R151" s="61" t="s">
        <v>64</v>
      </c>
      <c r="S151" s="61" t="s">
        <v>459</v>
      </c>
      <c r="T151" s="61" t="s">
        <v>53</v>
      </c>
      <c r="U151" s="61" t="s">
        <v>460</v>
      </c>
      <c r="V151" s="64"/>
      <c r="W151" s="64"/>
      <c r="X151" s="61"/>
      <c r="Y151" s="65"/>
      <c r="Z151" s="65"/>
      <c r="AA151" s="61"/>
      <c r="AB151" s="66"/>
      <c r="AC151" s="66"/>
      <c r="AD151" s="66"/>
      <c r="AE151" s="66"/>
      <c r="AF151" s="66"/>
      <c r="AG151" s="66"/>
      <c r="AH151" s="66"/>
    </row>
    <row r="152" ht="39.75" customHeight="1">
      <c r="A152" s="61" t="s">
        <v>461</v>
      </c>
      <c r="B152" s="61" t="s">
        <v>35</v>
      </c>
      <c r="C152" s="61" t="s">
        <v>413</v>
      </c>
      <c r="D152" s="61" t="s">
        <v>462</v>
      </c>
      <c r="E152" s="61" t="s">
        <v>463</v>
      </c>
      <c r="F152" s="61" t="s">
        <v>51</v>
      </c>
      <c r="G152" s="61" t="s">
        <v>63</v>
      </c>
      <c r="H152" s="63">
        <v>46447.0</v>
      </c>
      <c r="I152" s="63"/>
      <c r="J152" s="63"/>
      <c r="K152" s="63"/>
      <c r="L152" s="63"/>
      <c r="M152" s="63"/>
      <c r="N152" s="63"/>
      <c r="O152" s="63"/>
      <c r="P152" s="63"/>
      <c r="Q152" s="63">
        <v>46660.0</v>
      </c>
      <c r="R152" s="61" t="s">
        <v>64</v>
      </c>
      <c r="S152" s="61" t="s">
        <v>464</v>
      </c>
      <c r="T152" s="61" t="s">
        <v>53</v>
      </c>
      <c r="U152" s="61" t="s">
        <v>465</v>
      </c>
      <c r="V152" s="64"/>
      <c r="W152" s="64"/>
      <c r="X152" s="61"/>
      <c r="Y152" s="65"/>
      <c r="Z152" s="65"/>
      <c r="AA152" s="61"/>
      <c r="AB152" s="66"/>
      <c r="AC152" s="66"/>
      <c r="AD152" s="66"/>
      <c r="AE152" s="66"/>
      <c r="AF152" s="66"/>
      <c r="AG152" s="66"/>
      <c r="AH152" s="66"/>
    </row>
    <row r="153" ht="39.75" customHeight="1">
      <c r="A153" s="61" t="s">
        <v>466</v>
      </c>
      <c r="B153" s="61" t="s">
        <v>35</v>
      </c>
      <c r="C153" s="61" t="s">
        <v>413</v>
      </c>
      <c r="D153" s="61" t="s">
        <v>467</v>
      </c>
      <c r="E153" s="61" t="s">
        <v>468</v>
      </c>
      <c r="F153" s="61" t="s">
        <v>51</v>
      </c>
      <c r="G153" s="61" t="s">
        <v>63</v>
      </c>
      <c r="H153" s="63">
        <v>46600.0</v>
      </c>
      <c r="I153" s="63"/>
      <c r="J153" s="63"/>
      <c r="K153" s="63"/>
      <c r="L153" s="63"/>
      <c r="M153" s="63"/>
      <c r="N153" s="63"/>
      <c r="O153" s="63"/>
      <c r="P153" s="63"/>
      <c r="Q153" s="63">
        <v>46691.0</v>
      </c>
      <c r="R153" s="61" t="s">
        <v>64</v>
      </c>
      <c r="S153" s="61" t="s">
        <v>469</v>
      </c>
      <c r="T153" s="61" t="s">
        <v>53</v>
      </c>
      <c r="U153" s="61" t="s">
        <v>470</v>
      </c>
      <c r="V153" s="64"/>
      <c r="W153" s="64"/>
      <c r="X153" s="61"/>
      <c r="Y153" s="65"/>
      <c r="Z153" s="65"/>
      <c r="AA153" s="61"/>
      <c r="AB153" s="66"/>
      <c r="AC153" s="66"/>
      <c r="AD153" s="66"/>
      <c r="AE153" s="66"/>
      <c r="AF153" s="66"/>
      <c r="AG153" s="66"/>
      <c r="AH153" s="66"/>
    </row>
    <row r="154" ht="16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</row>
    <row r="155" ht="39.75" customHeight="1">
      <c r="A155" s="41" t="s">
        <v>471</v>
      </c>
      <c r="B155" s="41" t="s">
        <v>472</v>
      </c>
      <c r="C155" s="41" t="s">
        <v>413</v>
      </c>
      <c r="D155" s="41" t="s">
        <v>473</v>
      </c>
      <c r="E155" s="41" t="s">
        <v>474</v>
      </c>
      <c r="F155" s="41" t="s">
        <v>172</v>
      </c>
      <c r="G155" s="41" t="s">
        <v>63</v>
      </c>
      <c r="H155" s="42">
        <v>46230.0</v>
      </c>
      <c r="I155" s="42"/>
      <c r="J155" s="42"/>
      <c r="K155" s="42"/>
      <c r="L155" s="42"/>
      <c r="M155" s="42"/>
      <c r="N155" s="42"/>
      <c r="O155" s="42"/>
      <c r="P155" s="42"/>
      <c r="Q155" s="42">
        <v>46257.0</v>
      </c>
      <c r="R155" s="41" t="s">
        <v>64</v>
      </c>
      <c r="S155" s="41" t="s">
        <v>475</v>
      </c>
      <c r="T155" s="41" t="s">
        <v>41</v>
      </c>
      <c r="U155" s="41" t="s">
        <v>476</v>
      </c>
      <c r="V155" s="43"/>
      <c r="W155" s="43"/>
      <c r="X155" s="41"/>
      <c r="Y155" s="44"/>
      <c r="Z155" s="44"/>
      <c r="AA155" s="41" t="s">
        <v>477</v>
      </c>
      <c r="AB155" s="45"/>
      <c r="AC155" s="45"/>
      <c r="AD155" s="45"/>
      <c r="AE155" s="45"/>
      <c r="AF155" s="45"/>
      <c r="AG155" s="45"/>
      <c r="AH155" s="45"/>
    </row>
    <row r="156" ht="39.75" customHeight="1">
      <c r="A156" s="41" t="s">
        <v>478</v>
      </c>
      <c r="B156" s="41" t="s">
        <v>472</v>
      </c>
      <c r="C156" s="41" t="s">
        <v>413</v>
      </c>
      <c r="D156" s="41" t="s">
        <v>479</v>
      </c>
      <c r="E156" s="41" t="s">
        <v>480</v>
      </c>
      <c r="F156" s="41" t="s">
        <v>172</v>
      </c>
      <c r="G156" s="41" t="s">
        <v>63</v>
      </c>
      <c r="H156" s="42">
        <v>46266.0</v>
      </c>
      <c r="I156" s="42"/>
      <c r="J156" s="42"/>
      <c r="K156" s="42"/>
      <c r="L156" s="42"/>
      <c r="M156" s="42"/>
      <c r="N156" s="42"/>
      <c r="O156" s="42"/>
      <c r="P156" s="42"/>
      <c r="Q156" s="42">
        <v>46326.0</v>
      </c>
      <c r="R156" s="41" t="s">
        <v>64</v>
      </c>
      <c r="S156" s="41" t="s">
        <v>481</v>
      </c>
      <c r="T156" s="41" t="s">
        <v>53</v>
      </c>
      <c r="U156" s="41" t="s">
        <v>482</v>
      </c>
      <c r="V156" s="43"/>
      <c r="W156" s="43"/>
      <c r="X156" s="41"/>
      <c r="Y156" s="44"/>
      <c r="Z156" s="44"/>
      <c r="AA156" s="41" t="s">
        <v>483</v>
      </c>
      <c r="AB156" s="45"/>
      <c r="AC156" s="45"/>
      <c r="AD156" s="45"/>
      <c r="AE156" s="45"/>
      <c r="AF156" s="45"/>
      <c r="AG156" s="45"/>
      <c r="AH156" s="45"/>
    </row>
    <row r="157" ht="39.75" customHeight="1">
      <c r="A157" s="41" t="s">
        <v>484</v>
      </c>
      <c r="B157" s="41" t="s">
        <v>472</v>
      </c>
      <c r="C157" s="41" t="s">
        <v>413</v>
      </c>
      <c r="D157" s="41" t="s">
        <v>485</v>
      </c>
      <c r="E157" s="41" t="s">
        <v>486</v>
      </c>
      <c r="F157" s="41" t="s">
        <v>51</v>
      </c>
      <c r="G157" s="41" t="s">
        <v>63</v>
      </c>
      <c r="H157" s="42">
        <v>46327.0</v>
      </c>
      <c r="I157" s="42"/>
      <c r="J157" s="42"/>
      <c r="K157" s="42"/>
      <c r="L157" s="42"/>
      <c r="M157" s="42"/>
      <c r="N157" s="42"/>
      <c r="O157" s="42"/>
      <c r="P157" s="42"/>
      <c r="Q157" s="42">
        <v>46446.0</v>
      </c>
      <c r="R157" s="41" t="s">
        <v>64</v>
      </c>
      <c r="S157" s="41" t="s">
        <v>487</v>
      </c>
      <c r="T157" s="41" t="s">
        <v>53</v>
      </c>
      <c r="U157" s="41" t="s">
        <v>431</v>
      </c>
      <c r="V157" s="43"/>
      <c r="W157" s="43"/>
      <c r="X157" s="41"/>
      <c r="Y157" s="44"/>
      <c r="Z157" s="44"/>
      <c r="AA157" s="41" t="s">
        <v>488</v>
      </c>
      <c r="AB157" s="45"/>
      <c r="AC157" s="45"/>
      <c r="AD157" s="45"/>
      <c r="AE157" s="45"/>
      <c r="AF157" s="45"/>
      <c r="AG157" s="45"/>
      <c r="AH157" s="45"/>
    </row>
    <row r="158" ht="39.75" customHeight="1">
      <c r="A158" s="41" t="s">
        <v>489</v>
      </c>
      <c r="B158" s="41" t="s">
        <v>472</v>
      </c>
      <c r="C158" s="41" t="s">
        <v>413</v>
      </c>
      <c r="D158" s="41" t="s">
        <v>490</v>
      </c>
      <c r="E158" s="41" t="s">
        <v>491</v>
      </c>
      <c r="F158" s="41" t="s">
        <v>51</v>
      </c>
      <c r="G158" s="41" t="s">
        <v>63</v>
      </c>
      <c r="H158" s="42">
        <v>46419.0</v>
      </c>
      <c r="I158" s="42"/>
      <c r="J158" s="42"/>
      <c r="K158" s="42"/>
      <c r="L158" s="42"/>
      <c r="M158" s="42"/>
      <c r="N158" s="42"/>
      <c r="O158" s="42"/>
      <c r="P158" s="42"/>
      <c r="Q158" s="42">
        <v>46477.0</v>
      </c>
      <c r="R158" s="41" t="s">
        <v>64</v>
      </c>
      <c r="S158" s="41" t="s">
        <v>492</v>
      </c>
      <c r="T158" s="41" t="s">
        <v>53</v>
      </c>
      <c r="U158" s="41" t="s">
        <v>493</v>
      </c>
      <c r="V158" s="43"/>
      <c r="W158" s="43"/>
      <c r="X158" s="41"/>
      <c r="Y158" s="44"/>
      <c r="Z158" s="44"/>
      <c r="AA158" s="41" t="s">
        <v>494</v>
      </c>
      <c r="AB158" s="45"/>
      <c r="AC158" s="45"/>
      <c r="AD158" s="45"/>
      <c r="AE158" s="45"/>
      <c r="AF158" s="45"/>
      <c r="AG158" s="45"/>
      <c r="AH158" s="45"/>
    </row>
    <row r="159" ht="39.75" customHeight="1">
      <c r="A159" s="41" t="s">
        <v>495</v>
      </c>
      <c r="B159" s="41" t="s">
        <v>472</v>
      </c>
      <c r="C159" s="41" t="s">
        <v>413</v>
      </c>
      <c r="D159" s="41" t="s">
        <v>496</v>
      </c>
      <c r="E159" s="41" t="s">
        <v>497</v>
      </c>
      <c r="F159" s="41" t="s">
        <v>172</v>
      </c>
      <c r="G159" s="41" t="s">
        <v>63</v>
      </c>
      <c r="H159" s="42">
        <v>46388.0</v>
      </c>
      <c r="I159" s="42"/>
      <c r="J159" s="42"/>
      <c r="K159" s="42"/>
      <c r="L159" s="42"/>
      <c r="M159" s="42"/>
      <c r="N159" s="42"/>
      <c r="O159" s="42"/>
      <c r="P159" s="42"/>
      <c r="Q159" s="42">
        <v>46507.0</v>
      </c>
      <c r="R159" s="41" t="s">
        <v>64</v>
      </c>
      <c r="S159" s="41" t="s">
        <v>498</v>
      </c>
      <c r="T159" s="41" t="s">
        <v>53</v>
      </c>
      <c r="U159" s="41" t="s">
        <v>450</v>
      </c>
      <c r="V159" s="43"/>
      <c r="W159" s="43"/>
      <c r="X159" s="41"/>
      <c r="Y159" s="44"/>
      <c r="Z159" s="44"/>
      <c r="AA159" s="41" t="s">
        <v>499</v>
      </c>
      <c r="AB159" s="45"/>
      <c r="AC159" s="45"/>
      <c r="AD159" s="45"/>
      <c r="AE159" s="45"/>
      <c r="AF159" s="45"/>
      <c r="AG159" s="45"/>
      <c r="AH159" s="45"/>
    </row>
    <row r="160" ht="39.75" customHeight="1">
      <c r="A160" s="41" t="s">
        <v>500</v>
      </c>
      <c r="B160" s="41" t="s">
        <v>472</v>
      </c>
      <c r="C160" s="41" t="s">
        <v>413</v>
      </c>
      <c r="D160" s="41" t="s">
        <v>501</v>
      </c>
      <c r="E160" s="41" t="s">
        <v>502</v>
      </c>
      <c r="F160" s="41" t="s">
        <v>172</v>
      </c>
      <c r="G160" s="41" t="s">
        <v>63</v>
      </c>
      <c r="H160" s="42">
        <v>46478.0</v>
      </c>
      <c r="I160" s="42"/>
      <c r="J160" s="42"/>
      <c r="K160" s="42"/>
      <c r="L160" s="42"/>
      <c r="M160" s="42"/>
      <c r="N160" s="42"/>
      <c r="O160" s="42"/>
      <c r="P160" s="42"/>
      <c r="Q160" s="42">
        <v>46630.0</v>
      </c>
      <c r="R160" s="41" t="s">
        <v>64</v>
      </c>
      <c r="S160" s="41" t="s">
        <v>503</v>
      </c>
      <c r="T160" s="41" t="s">
        <v>53</v>
      </c>
      <c r="U160" s="41" t="s">
        <v>455</v>
      </c>
      <c r="V160" s="43"/>
      <c r="W160" s="43"/>
      <c r="X160" s="41"/>
      <c r="Y160" s="44"/>
      <c r="Z160" s="44"/>
      <c r="AA160" s="41" t="s">
        <v>504</v>
      </c>
      <c r="AB160" s="45"/>
      <c r="AC160" s="45"/>
      <c r="AD160" s="45"/>
      <c r="AE160" s="45"/>
      <c r="AF160" s="45"/>
      <c r="AG160" s="45"/>
      <c r="AH160" s="45"/>
    </row>
    <row r="161" ht="39.75" customHeight="1">
      <c r="A161" s="41" t="s">
        <v>505</v>
      </c>
      <c r="B161" s="41" t="s">
        <v>472</v>
      </c>
      <c r="C161" s="41" t="s">
        <v>413</v>
      </c>
      <c r="D161" s="41" t="s">
        <v>506</v>
      </c>
      <c r="E161" s="41" t="s">
        <v>507</v>
      </c>
      <c r="F161" s="41" t="s">
        <v>51</v>
      </c>
      <c r="G161" s="41" t="s">
        <v>63</v>
      </c>
      <c r="H161" s="42">
        <v>46447.0</v>
      </c>
      <c r="I161" s="42"/>
      <c r="J161" s="42"/>
      <c r="K161" s="42"/>
      <c r="L161" s="42"/>
      <c r="M161" s="42"/>
      <c r="N161" s="42"/>
      <c r="O161" s="42"/>
      <c r="P161" s="42"/>
      <c r="Q161" s="42">
        <v>46660.0</v>
      </c>
      <c r="R161" s="41" t="s">
        <v>64</v>
      </c>
      <c r="S161" s="41" t="s">
        <v>508</v>
      </c>
      <c r="T161" s="41" t="s">
        <v>53</v>
      </c>
      <c r="U161" s="41" t="s">
        <v>465</v>
      </c>
      <c r="V161" s="43"/>
      <c r="W161" s="43"/>
      <c r="X161" s="41"/>
      <c r="Y161" s="44"/>
      <c r="Z161" s="44"/>
      <c r="AA161" s="41" t="s">
        <v>509</v>
      </c>
      <c r="AB161" s="45"/>
      <c r="AC161" s="45"/>
      <c r="AD161" s="45"/>
      <c r="AE161" s="45"/>
      <c r="AF161" s="45"/>
      <c r="AG161" s="45"/>
      <c r="AH161" s="45"/>
    </row>
    <row r="162" ht="39.75" customHeight="1">
      <c r="A162" s="41" t="s">
        <v>510</v>
      </c>
      <c r="B162" s="41" t="s">
        <v>472</v>
      </c>
      <c r="C162" s="41" t="s">
        <v>413</v>
      </c>
      <c r="D162" s="41" t="s">
        <v>511</v>
      </c>
      <c r="E162" s="41" t="s">
        <v>512</v>
      </c>
      <c r="F162" s="41" t="s">
        <v>51</v>
      </c>
      <c r="G162" s="41" t="s">
        <v>63</v>
      </c>
      <c r="H162" s="42">
        <v>46600.0</v>
      </c>
      <c r="I162" s="42"/>
      <c r="J162" s="42"/>
      <c r="K162" s="42"/>
      <c r="L162" s="42"/>
      <c r="M162" s="42"/>
      <c r="N162" s="42"/>
      <c r="O162" s="42"/>
      <c r="P162" s="42"/>
      <c r="Q162" s="42">
        <v>46691.0</v>
      </c>
      <c r="R162" s="41" t="s">
        <v>64</v>
      </c>
      <c r="S162" s="41" t="s">
        <v>513</v>
      </c>
      <c r="T162" s="41" t="s">
        <v>53</v>
      </c>
      <c r="U162" s="41" t="s">
        <v>450</v>
      </c>
      <c r="V162" s="43"/>
      <c r="W162" s="43"/>
      <c r="X162" s="41"/>
      <c r="Y162" s="44"/>
      <c r="Z162" s="44"/>
      <c r="AA162" s="41" t="s">
        <v>514</v>
      </c>
      <c r="AB162" s="45"/>
      <c r="AC162" s="45"/>
      <c r="AD162" s="45"/>
      <c r="AE162" s="45"/>
      <c r="AF162" s="45"/>
      <c r="AG162" s="45"/>
      <c r="AH162" s="45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</row>
  </sheetData>
  <mergeCells count="22">
    <mergeCell ref="Q3:R3"/>
    <mergeCell ref="Q4:R4"/>
    <mergeCell ref="A1:AA1"/>
    <mergeCell ref="A3:B3"/>
    <mergeCell ref="C3:D3"/>
    <mergeCell ref="E3:F3"/>
    <mergeCell ref="G3:H3"/>
    <mergeCell ref="A4:B4"/>
    <mergeCell ref="G4:H4"/>
    <mergeCell ref="A69:C69"/>
    <mergeCell ref="A79:C79"/>
    <mergeCell ref="A86:C86"/>
    <mergeCell ref="A93:C93"/>
    <mergeCell ref="A131:C131"/>
    <mergeCell ref="A141:C141"/>
    <mergeCell ref="C4:D4"/>
    <mergeCell ref="E4:F4"/>
    <mergeCell ref="A13:B13"/>
    <mergeCell ref="A37:C37"/>
    <mergeCell ref="A38:C38"/>
    <mergeCell ref="A50:C50"/>
    <mergeCell ref="A60:C60"/>
  </mergeCells>
  <conditionalFormatting sqref="F8:F153 F155:F162">
    <cfRule type="expression" dxfId="1" priority="1">
      <formula>F8="Критический"</formula>
    </cfRule>
  </conditionalFormatting>
  <conditionalFormatting sqref="F8:F153 F155:F162">
    <cfRule type="expression" dxfId="2" priority="2">
      <formula>F8="Высокий"</formula>
    </cfRule>
  </conditionalFormatting>
  <conditionalFormatting sqref="Q8:Q153 Q155:Q162">
    <cfRule type="expression" dxfId="3" priority="3">
      <formula>AND(Q8&lt;TODAY(),R8&lt;&gt;"Готово",R8&lt;&gt;"Отменено",Q8&lt;&gt;"")</formula>
    </cfRule>
  </conditionalFormatting>
  <conditionalFormatting sqref="R8:R153 R155:R162">
    <cfRule type="expression" dxfId="4" priority="4">
      <formula>R8="Готово"</formula>
    </cfRule>
  </conditionalFormatting>
  <conditionalFormatting sqref="R8:R153 R155:R162">
    <cfRule type="expression" dxfId="5" priority="5">
      <formula>R8="В работе"</formula>
    </cfRule>
  </conditionalFormatting>
  <conditionalFormatting sqref="R8:R153 R155:R162">
    <cfRule type="expression" dxfId="6" priority="6">
      <formula>R8="Ожидает"</formula>
    </cfRule>
  </conditionalFormatting>
  <dataValidations>
    <dataValidation type="list" allowBlank="1" sqref="F8:F153 F155:F162">
      <formula1>"Критический,Высокий,Средний,Низкий"</formula1>
    </dataValidation>
    <dataValidation type="list" allowBlank="1" sqref="G8:G153 G155:G162">
      <formula1>"Галя,Сергей,Вместе,Мастер/электрик,Заказать/доставка"</formula1>
    </dataValidation>
    <dataValidation type="list" allowBlank="1" sqref="R8:R153 R155:R162">
      <formula1>"Не начато,Запланировано,В работе,Ожидает,Готово,Отменено"</formula1>
    </dataValidation>
    <dataValidation type="list" allowBlank="1" sqref="B8:B12 B14:B36 B39:B49 B51:B59 B61:B68 B70:B78 B80:B85 B87:B92 B94:B130 B132:B140 B142:B153 B155:B162">
      <formula1>"Основная задача,Покупка,Подзадача дня рождения,Этап обучения"</formula1>
    </dataValidation>
    <dataValidation type="list" allowBlank="1" sqref="T8:T153 T155:T162">
      <formula1>"Да,Нет"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
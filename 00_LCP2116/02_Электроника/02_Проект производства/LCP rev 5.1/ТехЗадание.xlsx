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1\YandexDisk\Levin\Разработки\Lorentz\Модули\CPU\PCB Altium\Version LCP rev 3\Резонит\"/>
    </mc:Choice>
  </mc:AlternateContent>
  <bookViews>
    <workbookView xWindow="510" yWindow="540" windowWidth="14060" windowHeight="7110"/>
  </bookViews>
  <sheets>
    <sheet name="Бланк заказа" sheetId="1" r:id="rId1"/>
    <sheet name="Лист1" sheetId="2" r:id="rId2"/>
  </sheets>
  <definedNames>
    <definedName name="Excel_BuiltIn__FilterDatabase">'Бланк заказа'!$A$1:$M$29</definedName>
    <definedName name="_xlnm.Print_Area" localSheetId="0">'Бланк заказа'!$A$2:$M$57</definedName>
  </definedNames>
  <calcPr calcId="162913"/>
</workbook>
</file>

<file path=xl/calcChain.xml><?xml version="1.0" encoding="utf-8"?>
<calcChain xmlns="http://schemas.openxmlformats.org/spreadsheetml/2006/main">
  <c r="Q22" i="1" l="1"/>
  <c r="R22" i="1"/>
  <c r="S22" i="1"/>
  <c r="Q23" i="1"/>
  <c r="R23" i="1"/>
  <c r="S23" i="1"/>
  <c r="BF27" i="1"/>
  <c r="BE27" i="1"/>
  <c r="AV27" i="1"/>
  <c r="AU27" i="1"/>
  <c r="AL27" i="1"/>
  <c r="AK27" i="1"/>
  <c r="AB27" i="1"/>
  <c r="AA27" i="1"/>
  <c r="R27" i="1"/>
  <c r="Q27" i="1"/>
  <c r="BH26" i="1"/>
  <c r="BG26" i="1"/>
  <c r="BE17" i="1"/>
  <c r="BF26" i="1" s="1"/>
  <c r="BE26" i="1"/>
  <c r="AX26" i="1"/>
  <c r="AW26" i="1"/>
  <c r="AU17" i="1"/>
  <c r="AV26" i="1" s="1"/>
  <c r="AU26" i="1"/>
  <c r="AN26" i="1"/>
  <c r="AM26" i="1"/>
  <c r="AK17" i="1"/>
  <c r="AQ21" i="1" s="1"/>
  <c r="AK26" i="1"/>
  <c r="AD26" i="1"/>
  <c r="AC26" i="1"/>
  <c r="AA17" i="1"/>
  <c r="AB26" i="1" s="1"/>
  <c r="AA26" i="1"/>
  <c r="V26" i="1"/>
  <c r="U26" i="1"/>
  <c r="T26" i="1"/>
  <c r="S26" i="1"/>
  <c r="Q26" i="1"/>
  <c r="BF25" i="1"/>
  <c r="BE25" i="1"/>
  <c r="AV25" i="1"/>
  <c r="AU25" i="1"/>
  <c r="AL25" i="1"/>
  <c r="AK25" i="1"/>
  <c r="AB25" i="1"/>
  <c r="AA25" i="1"/>
  <c r="R25" i="1"/>
  <c r="Q25" i="1"/>
  <c r="BF24" i="1"/>
  <c r="BE24" i="1"/>
  <c r="AV24" i="1"/>
  <c r="AU24" i="1"/>
  <c r="AL24" i="1"/>
  <c r="AK24" i="1"/>
  <c r="AB24" i="1"/>
  <c r="AA24" i="1"/>
  <c r="R24" i="1"/>
  <c r="Q24" i="1"/>
  <c r="BH23" i="1"/>
  <c r="BG23" i="1"/>
  <c r="BF23" i="1"/>
  <c r="BE23" i="1"/>
  <c r="AX23" i="1"/>
  <c r="AW23" i="1"/>
  <c r="AV23" i="1"/>
  <c r="AU23" i="1"/>
  <c r="AN23" i="1"/>
  <c r="AM23" i="1"/>
  <c r="AL23" i="1"/>
  <c r="AK23" i="1"/>
  <c r="AD23" i="1"/>
  <c r="AC23" i="1"/>
  <c r="AB23" i="1"/>
  <c r="AA23" i="1"/>
  <c r="T23" i="1"/>
  <c r="BH22" i="1"/>
  <c r="BG22" i="1"/>
  <c r="BF22" i="1"/>
  <c r="BE22" i="1"/>
  <c r="AX22" i="1"/>
  <c r="AW22" i="1"/>
  <c r="AV22" i="1"/>
  <c r="AU22" i="1"/>
  <c r="AN22" i="1"/>
  <c r="AM22" i="1"/>
  <c r="AL22" i="1"/>
  <c r="AK22" i="1"/>
  <c r="AD22" i="1"/>
  <c r="AC22" i="1"/>
  <c r="AB22" i="1"/>
  <c r="AA22" i="1"/>
  <c r="T22" i="1"/>
  <c r="BL21" i="1"/>
  <c r="BK21" i="1"/>
  <c r="BJ21" i="1"/>
  <c r="BI21" i="1"/>
  <c r="BH21" i="1"/>
  <c r="BG21" i="1"/>
  <c r="BF21" i="1"/>
  <c r="BE21" i="1"/>
  <c r="AZ21" i="1"/>
  <c r="AV21" i="1"/>
  <c r="AU21" i="1"/>
  <c r="AR21" i="1"/>
  <c r="AN21" i="1"/>
  <c r="AL21" i="1"/>
  <c r="AK21" i="1"/>
  <c r="AG21" i="1"/>
  <c r="AC21" i="1"/>
  <c r="AB21" i="1"/>
  <c r="AA21" i="1"/>
  <c r="R21" i="1"/>
  <c r="Q21" i="1"/>
  <c r="BH20" i="1"/>
  <c r="BG20" i="1"/>
  <c r="BF20" i="1"/>
  <c r="BE20" i="1"/>
  <c r="AW20" i="1"/>
  <c r="AV20" i="1"/>
  <c r="AU20" i="1"/>
  <c r="AM20" i="1"/>
  <c r="AL20" i="1"/>
  <c r="AK20" i="1"/>
  <c r="AC20" i="1"/>
  <c r="AB20" i="1"/>
  <c r="AA20" i="1"/>
  <c r="R20" i="1"/>
  <c r="Q20" i="1"/>
  <c r="BJ19" i="1"/>
  <c r="BI19" i="1"/>
  <c r="BH19" i="1"/>
  <c r="BG19" i="1"/>
  <c r="BF19" i="1"/>
  <c r="BE19" i="1"/>
  <c r="AY19" i="1"/>
  <c r="AX19" i="1"/>
  <c r="AW19" i="1"/>
  <c r="AV19" i="1"/>
  <c r="AU19" i="1"/>
  <c r="AO19" i="1"/>
  <c r="AN19" i="1"/>
  <c r="AM19" i="1"/>
  <c r="AL19" i="1"/>
  <c r="AK19" i="1"/>
  <c r="AE19" i="1"/>
  <c r="AD19" i="1"/>
  <c r="AC19" i="1"/>
  <c r="AB19" i="1"/>
  <c r="AA19" i="1"/>
  <c r="U19" i="1"/>
  <c r="T19" i="1"/>
  <c r="S19" i="1"/>
  <c r="R19" i="1"/>
  <c r="Q19" i="1"/>
  <c r="E18" i="1"/>
  <c r="Q17" i="1"/>
  <c r="W21" i="1" s="1"/>
  <c r="E14" i="1"/>
  <c r="AE21" i="1" l="1"/>
  <c r="R73" i="1"/>
  <c r="R74" i="1" s="1"/>
  <c r="AF19" i="1"/>
  <c r="AZ19" i="1"/>
  <c r="AD20" i="1"/>
  <c r="AN20" i="1"/>
  <c r="AX20" i="1"/>
  <c r="AF21" i="1"/>
  <c r="BB21" i="1"/>
  <c r="AP19" i="1"/>
  <c r="AD21" i="1"/>
  <c r="AH21" i="1"/>
  <c r="AP21" i="1"/>
  <c r="AX21" i="1"/>
  <c r="AO21" i="1"/>
  <c r="AY21" i="1"/>
  <c r="AL26" i="1"/>
  <c r="AM21" i="1"/>
  <c r="AW21" i="1"/>
  <c r="BA21" i="1"/>
  <c r="S21" i="1"/>
  <c r="V21" i="1"/>
  <c r="R57" i="1"/>
  <c r="R58" i="1" s="1"/>
  <c r="R59" i="1" s="1"/>
  <c r="R60" i="1" s="1"/>
  <c r="R61" i="1" s="1"/>
  <c r="R62" i="1" s="1"/>
  <c r="U21" i="1"/>
  <c r="V19" i="1"/>
  <c r="T20" i="1"/>
  <c r="T21" i="1"/>
  <c r="X21" i="1"/>
  <c r="R26" i="1"/>
  <c r="R41" i="1"/>
  <c r="R42" i="1" s="1"/>
  <c r="S20" i="1"/>
  <c r="R75" i="1" l="1"/>
  <c r="R76" i="1" s="1"/>
  <c r="R77" i="1" s="1"/>
  <c r="R78" i="1" s="1"/>
  <c r="R43" i="1"/>
  <c r="R44" i="1" s="1"/>
  <c r="R45" i="1" l="1"/>
  <c r="R46" i="1" l="1"/>
</calcChain>
</file>

<file path=xl/comments1.xml><?xml version="1.0" encoding="utf-8"?>
<comments xmlns="http://schemas.openxmlformats.org/spreadsheetml/2006/main">
  <authors>
    <author/>
  </authors>
  <commentList>
    <comment ref="M1" authorId="0" shapeId="0">
      <text>
        <r>
          <rPr>
            <sz val="10"/>
            <color rgb="FF000000"/>
            <rFont val="Arial Cyr"/>
          </rPr>
          <t>1_x0000_-_x0000_0_x0000_8_x0000_-_x0000_0_x0000_7_x0000_
_x0000_1_x0000_._x0000_ _x0000__x0014__x0004_&gt;_x0004_1_x0004_0_x0004_2_x0004_;_x0004_5_x0004_=_x0004_=_x0004_&gt;_x0004_ _x0000_M_x0004_B_x0004_&gt;_x0004_ _x0000_?_x0004_&gt;_x0004_;_x0004_5_x0004_._x0000_
_x0000_2_x0000_._x0000_ _x0000__x0014__x0004_&gt;_x0004_1_x0004_0_x0004_2_x0004_;_x0004_5_x0004_=_x0004_ _x0000_B_x0004_8_x0004_?_x0004_ _x0000_?_x0004_@_x0004_&gt;_x0004_8_x0004_7_x0004_2_x0004_&gt;_x0004_4_x0004_A_x0004_B_x0004_2_x0004_0_x0004_ _x0000_!_x0004_C_x0004_?_x0004_5_x0004_@_x0004_M_x0004_:_x0004_A_x0004_?_x0004_@_x0004_5_x0004_5_x0004_ _x0000_
_x0000_
_x0000_7_x0000_-_x0000_1_x0000_0_x0000_-_x0000_0_x0000_7_x0000_
_x0000_1_x0000_._x0000__x0018__x0004_7_x0004_&lt;_x0004_5_x0004_=_x0004_5_x0004_=_x0004_K_x0004_ _x0000_B_x0004_8_x0004_?_x0004_0_x0004_ _x0000_?_x0004_@_x0004_&gt;_x0004_8_x0004_7_x0004_2_x0004_&gt;_x0004_4_x0004_A_x0004_B_x0004_2_x0004_0_x0004_
_x0000_2_x0000_._x0000__x001C__x0004_0_x0004_H_x0004_B_x0004_0_x0004_1_x0004_ _x0000_2_x0000_._x0000_5_x0000_ _x0000_A_x0004_4_x0004_5_x0004_;_x0004_0_x0004_=_x0004_ _x0000_:_x0004_@_x0004_0_x0004_A_x0004_=_x0004_K_x0004_&lt;_x0004_
_x0000_
_x0000_1_x0000_1_x0000_-_x0000_0_x0000_8_x0000_-_x0000_0_x0000_9_x0000_
_x0000__x0014__x0004_&gt;_x0004_1_x0004_0_x0004_2_x0004_;_x0004_5_x0004_=_x0004_0_x0004_ _x0000_D_x0004_&gt;_x0004_;_x0004_L_x0004_3_x0004_0_x0004_ _x0000_7_x0000_0_x0000_&lt;_x0004_:_x0004_&lt;_x0004_ _x0000_=_x0004_0_x0004_ _x0000_2_x0000_&lt;_x0004_&lt;_x0004_ _x0000_8_x0004_ _x0000_1_x0000_0_x0000_5_x0000_&lt;_x0004_:_x0004_&lt;_x0004_ _x0000_=_x0004_0_x0004_ _x0000_1_x0000_,_x0000_5_x0000_&lt;_x0004_&lt;_x0004_
_x0000_
_x0000_2_x0000_7_x0000_-_x0000_0_x0000_4_x0000_-_x0000_1_x0000_0_x0000_
_x0000_#_x0004_4_x0004_5_x0004_;_x0004_5_x0004_=_x0004_&gt;_x0004_ _x0000_A_x0004_B_x0004_&gt;_x0004_@_x0004_:_x0004_0_x0004_ _x0000_D_x0004_&gt;_x0004_@_x0004_B_x0004_&lt;_x0004_0_x0004_ _x0000_D_x0004_0_x0004_9_x0004_;_x0004_0_x0004_,</t>
        </r>
      </text>
    </comment>
    <comment ref="A11" authorId="0" shapeId="0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E11" authorId="0" shapeId="0">
      <text>
        <r>
          <rPr>
            <sz val="10"/>
            <color rgb="FF000000"/>
            <rFont val="Arial Cyr"/>
          </rPr>
          <t>-_x0004_B_x0004_&gt;_x0004_ _x0000_=_x0004_0_x0004_7_x0004_2_x0004_0_x0004_=_x0004_8_x0004_5_x0004_ _x0000_4_x0004_&gt;_x0004_;_x0004_6_x0004_=_x0004_&gt;_x0004_ _x0000_A_x0004_&gt;_x0004_2_x0004_?_x0004_0_x0004_4_x0004_0_x0004_B_x0004_L_x0004_ _x0000_A_x0004_ _x0000_D_x0004_0_x0004_9_x0004_;_x0004_&gt;_x0004_&lt;_x0004_ _x0000_?_x0004_@_x0004_&gt;_x0004_5_x0004_:_x0004_B_x0004_0_x0004_,_x0000_ _x0000_&gt;_x0004_=_x0004_&gt;_x0004_ _x0000_1_x0004_C_x0004_4_x0004_5_x0004_B_x0004_ _x0000_8_x0004_A_x0004_?_x0004_&gt;_x0004_;_x0004_L_x0004_7_x0004_&gt;_x0004_2_x0004_0_x0004_</t>
        </r>
      </text>
    </comment>
    <comment ref="A12" authorId="0" shapeId="0">
      <text>
        <r>
          <rPr>
            <sz val="10"/>
            <color rgb="FF000000"/>
            <rFont val="Arial Cyr"/>
          </rPr>
          <t>_x001D__x0004_&gt;_x0004_2_x0004_K_x0004_9_x0004_ _x0000_?_x0004_&gt;_x0004_</t>
        </r>
      </text>
    </comment>
    <comment ref="E12" authorId="0" shapeId="0">
      <text>
        <r>
          <rPr>
            <sz val="10"/>
            <color rgb="FF000000"/>
            <rFont val="Arial Cyr"/>
          </rPr>
          <t xml:space="preserve">_x0014__x0004_;_x0004_O_x0004_ _x0000_?_x0004_&gt;_x0004_2_x0004_B_x0004_&gt;_x0004_@_x0004_=_x0004_&gt;_x0004_3_x0004_&gt;_x0004_ _x0000_7_x0004_0_x0004_:_x0004_0_x0004_7_x0004_0_x0004_ _x0000_1_x0004_5_x0004_7_x0004_ _x0000_8_x0004_7_x0004_&lt;_x0004_5_x0004_=_x0004_5_x0004_=_x0004_8_x0004_9_x0004_ _x0000_?_x0004_@_x0004_8_x0004_A_x0004_K_x0004_;_x0004_0_x0004_B_x0004_L_x0004_ _x0000_4_x0004_0_x0004_=_x0004_=_x0004_K_x0004_5_x0004_ _x0000_?_x0004_@_x0004_&gt;_x0004_5_x0004_:_x0004_B_x0004_8_x0004_@_x0004_&gt;_x0004_2_x0004_0_x0004_=_x0004_8_x0004_O_x0004_ _x0000_=_x0004_5_x0004_ _x0000_=_x0004_C_x0004_6_x0004_=_x0004_&gt;_x0004_!_x0000_ </t>
        </r>
      </text>
    </comment>
    <comment ref="E15" authorId="0" shapeId="0">
      <text>
        <r>
          <rPr>
            <sz val="10"/>
            <color rgb="FF000000"/>
            <rFont val="Arial Cyr"/>
          </rPr>
          <t>!_x0004_2_x0004_O_x0004_7_x0004_0_x0004_=_x0004_&gt;_x0004_ _x0000_A_x0004_ _x0000_?_x0004_&gt;_x0004_;_x0004_O_x0004_&lt;_x0004_8_x0004_ _x0000_"_x0000_ _x0004_0_x0004_7_x0004_&lt;_x0004_5_x0004_@_x0004_ _x0000_?_x0004_;_x0004_0_x0004_B_x0004_K_x0004_ _x0000_(_x0000_4</t>
        </r>
      </text>
    </comment>
    <comment ref="E19" authorId="0" shapeId="0">
      <text>
        <r>
          <rPr>
            <sz val="10"/>
            <color rgb="FF000000"/>
            <rFont val="Arial Cyr"/>
          </rPr>
          <t>_x0015__x0004_A_x0004_;_x0004_8_x0004_ _x0000_B_x0004_@_x0004_5_x0004_1_x0004_C_x0004_5_x0004_&lt;_x0004_&gt;_x0004_9_x0004_ _x0000_B_x0004_&gt;_x0004_;_x0004_I_x0004_8_x0004_=_x0004_K_x0004_ _x0000_?_x0004_;_x0004_0_x0004_B_x0004_K_x0004_ _x0000_=_x0004_5_x0004_B_x0004_ _x0000_2_x0004_ _x0000_A_x0004_?_x0004_8_x0004_A_x0004_:_x0004_5_x0004_,_x0000_ _x0000_C_x0004_:_x0004_0_x0004_7_x0004_K_x0004_2_x0004_0_x0004_9_x0004_B_x0004_5_x0004_ _x0000_5_x0004_5_x0004_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_x0000__x0014__x0004_;_x0004_O_x0004_ _x0000_&lt;_x0004_=_x0004_&gt;_x0004_3_x0004_&gt;_x0004_A_x0004_;</t>
        </r>
      </text>
    </comment>
    <comment ref="E20" authorId="0" shapeId="0">
      <text>
        <r>
          <rPr>
            <sz val="10"/>
            <color rgb="FF000000"/>
            <rFont val="Arial Cyr"/>
          </rPr>
          <t>"_x0004_&gt;_x0004_;_x0004_I_x0004_8_x0004_=_x0004_0_x0004_ _x0000_1_x0004_0_x0004_7_x0004_&gt;_x0004_2_x0004_&gt;_x0004_9_x0004_ _x0000_&lt;_x0004_5_x0004_4_x0004_8_x0004_._x0000_ _x0000__x0012__x0004_ _x0000_?_x0004_@_x0004_&gt;_x0004_F_x0004_5_x0004_A_x0004_A_x0004_5_x0004_ _x0000_?_x0004_@_x0004_&gt;_x0004_8_x0004_7_x0004_2_x0004_&gt;_x0004_4_x0004_A_x0004_B_x0004_2_x0004_0_x0004_ _x0000_?_x0004_;_x0004_0_x0004_B_x0004_ _x0000_A_x0004_ _x0000_&lt;_x0004_5_x0004_B_x0004_0_x0004_;_x0004_;_x0004_8_x0004_7_x0004_0_x0004_F_x0004_8_x0004_5_x0004_9_x0004_ _x0000_&gt;_x0004_B_x0004_2_x0004_5_x0004_@_x0004_A_x0004_B_x0004_8_x0004_9_x0004_ _x0000_=_x0004_0_x0004_ _x0000_?_x0004_@_x0004_&gt;_x0004_2_x0004_</t>
        </r>
      </text>
    </comment>
    <comment ref="E21" authorId="0" shapeId="0">
      <text>
        <r>
          <rPr>
            <sz val="10"/>
            <color rgb="FF000000"/>
            <rFont val="Arial Cyr"/>
          </rPr>
          <t>1_x0000_-_x0000_&lt;_x0004_5_x0004_4_x0004_=_x0004_0_x0004_O_x0004_ _x0000_D_x0004_&gt;_x0004_;_x0004_L_x0004_3_x0004_0_x0004_ _x0000_A_x0004_ _x0000_&gt;_x0004_4_x0004_=_x0004_&gt;_x0004_9_x0004_ _x0000_A_x0004_B_x0004_&gt;_x0004_@_x0004_&gt;_x0004_=_x0004_K_x0004_,_x0000_ _x0000_2_x0000_-_x0000_A_x0004_ _x0000_4_x0004_2_x0004_C_x0004_E_x0004_ _x0000_A_x0004_B_x0004_@_x0004_&gt;_x0004_=_x0004_,_x0000_ _x0000_3_x0000_ _x0000_8_x0004_ _x0000_1_x0004_&gt;_x0004_;_x0004_5_x0004_5_x0004_ _x0000_-_x0000_ _x0000_&lt;_x0004_=_x0004_&gt;_x0004_3_x0004_&gt;_x0004_A_x0004_;_x0004_&gt;_x0004_9_x0004_=_x0004_K_x0004_5_x0004_ _x0000_?_x0004_;_x0004_0_x0004_B_x0004_K_x0004_._x0000_ _x0000_ _x0000__x001D__x0004_5_x0004_G_x0004_5_x0004_B_x0004_=_x0004_&gt;_x0004_5_x0004_ _x0000_:_x0004_&gt;_x0004_;_x0004_8_x0004_G_x0004_5_x0004_A_x0004_B_x0004_2_x0004_&gt;_x0004_ _x0000_?_x0004_@_x0004_&gt;_x0004_2_x0004_&gt;_x0004_4_x0004_O_x0004_I_x0004_8_x0004_E_x0004_ _x0000_A_x0004_;_x0004_&gt;_x0004_5_x0004_2_x0004_ _x0000_2_x0004_ _x0000_&lt;_x0004_=_x0004_&gt;</t>
        </r>
      </text>
    </comment>
    <comment ref="E22" authorId="0" shapeId="0">
      <text>
        <r>
          <rPr>
            <sz val="10"/>
            <color rgb="FF000000"/>
            <rFont val="Arial Cyr"/>
          </rPr>
          <t>_x0014__x0004_;_x0004_O_x0004_ _x0000_&gt;_x0004_1_x0004_;_x0004_5_x0004_3_x0004_G_x0004_5_x0004_=_x0004_8_x0004_O_x0004_ _x0000_&lt;_x0004_&gt;_x0004_=_x0004_B_x0004_0_x0004_6_x0004_0_x0004_._x0000_ _x0000_&amp;_x0004_2_x0004_5_x0004_B_x0004_ _x0000_&lt;_x0004_0_x0004_A_x0004_:_x0004_8_x0004_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</t>
        </r>
      </text>
    </comment>
    <comment ref="E23" authorId="0" shapeId="0">
      <text>
        <r>
          <rPr>
            <sz val="10"/>
            <color rgb="FF000000"/>
            <rFont val="Arial Cyr"/>
          </rPr>
          <t>&amp;_x0004_2_x0004_5_x0004_B_x0004_ _x0000_&lt;_x0004_0_x0004_@_x0004_:_x0004_8_x0004_@_x0004_&gt;_x0004_2_x0004_:_x0004_8_x0004_ _x0000_C_x0004_:_x0004_0_x0004_7_x0004_K_x0004_2_x0004_0_x0004_9_x0004_B_x0004_5_x0004_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_x0000_B_x0004_@_x0004_5_x0004_1_x0004_&gt;_x0004_2_x0004_0_x0004_=_x0004_8_x0004_O_x0004_"_x0000_._x0000_ _x0000__x0012__x0004_0_x0004_@_x0004_8_x0004_0_x0004_=_x0004_B_x0004_K_x0004_ _x0000_F_x0004_2_x0004_5_x0004_</t>
        </r>
      </text>
    </comment>
    <comment ref="E26" authorId="0" shapeId="0">
      <text>
        <r>
          <rPr>
            <sz val="10"/>
            <color rgb="FF000000"/>
            <rFont val="Arial Cyr"/>
          </rPr>
          <t>_x0015__x0004_A_x0004_;_x0004_8_x0004_ _x0000_=_x0004_5_x0004_&gt;_x0004_1_x0004_E_x0004_&gt;_x0004_4_x0004_8_x0004_&lt;_x0004_0_x0004_ _x0000_3_x0004_@_x0004_C_x0004_?_x0004_?_x0004_&gt;_x0004_2_x0004_0_x0004_O_x0004_ _x0000_?_x0004_5_x0004_G_x0004_0_x0004_B_x0004_=_x0004_0_x0004_O_x0004_ _x0000_?_x0004_;_x0004_0_x0004_B_x0004_0_x0004_,_x0000_ _x0000_2_x0004_ _x0000_?_x0004_&gt;_x0004_;_x0004_5_x0004_ _x0000_"_x0000__x0014__x0004_&gt;_x0004_?_x0004_&gt;_x0004_;_x0004_=_x0004_8_x0004_B_x0004_5_x0004_;_x0004_L_x0004_=_x0004_K_x0004_5_x0004_ _x0000_B_x0004_@_x0004_5_x0004_1_x0004_&gt;_x0004_2_x0004_0_x0004_=_x0004_8_x0004_O_x0004_"_x0000_ _x0000_C_x0004_:_x0004_0_x0004_6_x0004_8_x0004_B_x0004_5_x0004_ _x0000_?_x0004_0_x0004_@_x0004_0_x0004_&lt;_x0004_5_x0004_B_x0004_@_x0004_K_x0004_ _x0000_&lt;_x0004_C_x0004_;_x0004_L_x0004_B_x0004_8_x0004_?_x0004_;_x0004_8_x0004_:_x0004_0_x0004_F_x0004_8_x0004_8_x0004_:_x0000_ _x0000_:_x0004_&gt;_x0004_;_x0004_8_x0004_G_x0004_5_x0004_A_x0004_B_x0004_2_x0004_&gt;_x0004_ _x0000_?_x0004_;_x0004_0_x0004_B_x0004_ _x0000_?_x0004_&gt;_x0004_ _x0000_X_x0000_ _x0000_8_x0004_ _x0000_Y_x0000_,_x0000_ _x0000_7_x0004_0_x0004_7_x0004_&gt;_x0004_@_x0004_K_x0004_ _x0000_&lt;_x0004_5_x0004_6_x0004_4_x0004_C_x0004_ _x0000_?_x0004_;_x0004_0_x0004_B_x0004_0_x0004_&lt;_x0004_8_x0004_ _x0000_?</t>
        </r>
      </text>
    </comment>
  </commentList>
</comments>
</file>

<file path=xl/sharedStrings.xml><?xml version="1.0" encoding="utf-8"?>
<sst xmlns="http://schemas.openxmlformats.org/spreadsheetml/2006/main" count="128" uniqueCount="80">
  <si>
    <t>Карта заказа предназначена исключительно для описания заказа и данных проектирования в формате Gerber274X</t>
  </si>
  <si>
    <t>ИЗМ</t>
  </si>
  <si>
    <t>ЗАКАЗЧИК</t>
  </si>
  <si>
    <t>Вер. 25.07.12</t>
  </si>
  <si>
    <t>Название фирмы (или ФИО) - заказчика</t>
  </si>
  <si>
    <t>ИНН\КПП</t>
  </si>
  <si>
    <t>7709918869\770901001</t>
  </si>
  <si>
    <t xml:space="preserve">Плательщик (если различно с заказчиком)          </t>
  </si>
  <si>
    <t>Адрес (юридический)</t>
  </si>
  <si>
    <t>Телефон / Факс</t>
  </si>
  <si>
    <t>e-mail</t>
  </si>
  <si>
    <t>Контактное лицо</t>
  </si>
  <si>
    <t>Закржевский Сергей Витальевич</t>
  </si>
  <si>
    <t>Адрес доставки</t>
  </si>
  <si>
    <t>Самовывоз</t>
  </si>
  <si>
    <t>Москва</t>
  </si>
  <si>
    <t>Питер</t>
  </si>
  <si>
    <t>ЮПС</t>
  </si>
  <si>
    <t>Гарантпост</t>
  </si>
  <si>
    <t>Автотрейдинг</t>
  </si>
  <si>
    <t>Характеристика проекта</t>
  </si>
  <si>
    <r>
      <t>Все значения и требования отличные от стандартных  необходимо дописывать в поле</t>
    </r>
    <r>
      <rPr>
        <sz val="9"/>
        <color rgb="FF000000"/>
        <rFont val="Arial Cyr"/>
      </rPr>
      <t xml:space="preserve"> </t>
    </r>
    <r>
      <rPr>
        <sz val="8"/>
        <color rgb="FF000000"/>
        <rFont val="Arial Cyr"/>
      </rPr>
      <t>"ДОПОЛНИТЕЛЬНЫЕ ТРЕБОВАНИЯ"</t>
    </r>
  </si>
  <si>
    <t>Название файла платы:</t>
  </si>
  <si>
    <t>без изменений</t>
  </si>
  <si>
    <t>Плата изготавливается: "впервые" / "повторно"</t>
  </si>
  <si>
    <t>повторно</t>
  </si>
  <si>
    <t>впервые</t>
  </si>
  <si>
    <t>Новый</t>
  </si>
  <si>
    <t>Повторный</t>
  </si>
  <si>
    <t>Вариант изготовления</t>
  </si>
  <si>
    <t>Срочное изготовление</t>
  </si>
  <si>
    <t>Супер-Экспресс</t>
  </si>
  <si>
    <t>Мелкие и средние серии</t>
  </si>
  <si>
    <t>Крупные серии</t>
  </si>
  <si>
    <t>Срочное на аллюминии</t>
  </si>
  <si>
    <t>Срочное на СВЧ</t>
  </si>
  <si>
    <t>Срок изготовления</t>
  </si>
  <si>
    <t xml:space="preserve">Количество, шт. </t>
  </si>
  <si>
    <t>Размер платы (длина), мм</t>
  </si>
  <si>
    <t>Размер платы (ширина), мм</t>
  </si>
  <si>
    <t>Общая площадь платы, дм*дм (вычисляется автоматически)</t>
  </si>
  <si>
    <r>
      <t>Толщина материала (для ОПП, ДПП)/Общая толщина платы (для МПП), мм (</t>
    </r>
    <r>
      <rPr>
        <sz val="8"/>
        <color rgb="FF000000"/>
        <rFont val="Arial Cyr"/>
      </rPr>
      <t>по умолчанию 1,5мм)</t>
    </r>
  </si>
  <si>
    <r>
      <t>Толщина фольги, мкм</t>
    </r>
    <r>
      <rPr>
        <sz val="8"/>
        <color rgb="FF000000"/>
        <rFont val="Arial Cyr"/>
      </rPr>
      <t xml:space="preserve"> (по умолчанию 18мкм)</t>
    </r>
  </si>
  <si>
    <t>Количество слоев</t>
  </si>
  <si>
    <t>Наличие маски</t>
  </si>
  <si>
    <t>с 2 сторон</t>
  </si>
  <si>
    <t>Наличие маркировки краской</t>
  </si>
  <si>
    <r>
      <t xml:space="preserve">Мехобработка контура </t>
    </r>
    <r>
      <rPr>
        <sz val="7"/>
        <color rgb="FF000000"/>
        <rFont val="Arial Cyr"/>
      </rPr>
      <t>(по умолчанию на выбор производства)</t>
    </r>
  </si>
  <si>
    <t>Электроконтроль</t>
  </si>
  <si>
    <t>да</t>
  </si>
  <si>
    <t>Монтаж в нашей фирме</t>
  </si>
  <si>
    <t xml:space="preserve">да </t>
  </si>
  <si>
    <t>нет</t>
  </si>
  <si>
    <t>Дополнительные требования</t>
  </si>
  <si>
    <t>Верхний</t>
  </si>
  <si>
    <t>Нижний</t>
  </si>
  <si>
    <t>Внутренний1</t>
  </si>
  <si>
    <t>Внутренний2</t>
  </si>
  <si>
    <r>
      <t>Срок производства ОПП и ДПП без маски — 2 рабочих дня, с маской — 3 дня.</t>
    </r>
    <r>
      <rPr>
        <sz val="12"/>
        <color rgb="FF000000"/>
        <rFont val="Times New Roman"/>
      </rPr>
      <t xml:space="preserve"> 
</t>
    </r>
    <r>
      <rPr>
        <sz val="14"/>
        <color rgb="FF000000"/>
        <rFont val="Times New Roman"/>
      </rPr>
      <t xml:space="preserve">Срок производства многослойных печатных плат – 5-7 рабочих дней
</t>
    </r>
    <r>
      <rPr>
        <sz val="12"/>
        <color rgb="FF000000"/>
        <rFont val="Times New Roman"/>
      </rPr>
      <t xml:space="preserve">1. Наличие электротестирования, иммерсионного золочения, нестандартной паяльной маски увеличивает срок изготовления на 1—2 рабочих дня. 
2. Дни приема и доставки заказа не учитываются. 
3. Изготовление плат по 5-му классу точности добавляет к сроку изготовления 1—2 рабочих дня, максимальный объем заказа 20 дм².
Отдельно оплачивается:
• Иммерсионное золочение — 100руб./дм²
• Нестандартная (черная, красная, синяя или супербелая) защитная маска +1500 руб.
• Покрытие ламелей: Au — 0,30 руб./мм², Ni — 0,05 руб./мм².
• Проверка платы электротестовым оборудованием на КЗ и обрыв — 40 руб./дм².
• Изготовление и электротестирование 1 дм² плат с параметрами зазор и/или проводник менее 0,2 мм, и/или минимальное переходное отверстие менее 0,4 мм, коэффициент = 1,2.
• Изготовление и электротестирование 1 дм² ДПП с параметрами зазор и/или проводник менее 0,15 мм, и/или минимальное переходное отверстие менее 0,3 мм, коэффициент = 1,4.
</t>
    </r>
  </si>
  <si>
    <t xml:space="preserve">Для ОПП и ДПП без маски срок изготовления — 1 рабочий день.
Для ОПП и ДПП с маской срок изготовления — 2 рабочих дня.
МПП по системе «Суперэкспресс» не изготавливаются.
- Если плата изготавливается с покрытием ламелей Ni, Au; или с электротестированием, то срок изготовления увеличивается на 1 рабочий день.
- Дни приема и доставки заказа не учитываются. 
Отдельно оплачивается:
• Покрытие ламелей: Au — 0,45 руб./мм², Ni — 0,08 руб./мм².
• Проверка платы электротестовым оборудованием на КЗ и обрыв — 60 руб./дм².
</t>
  </si>
  <si>
    <t>Отдельно оплачиваются:
Платы из материала толщиной 2 мм — 8 руб./дм²,
Платы с толщиной фольги 70 мкм — 8 руб./дм²,
Платы с толщиной фольги 100 мкм — 15 руб./дм²,
Покрытие ламелей Ni,
Проверка платы электротестовым оборудованием на КЗ и обрыв — 40 руб./дм²,
При площади печатной платы менее 0,3 дм² стоимость дм² увеличивается: 
менее 0,1 дм² коэф.=3; 
от 0,1 до 0,2 дм² коэф.=2; 
от 0,2 до 0,3 дм² коэф.=1,4,</t>
  </si>
  <si>
    <t xml:space="preserve">Ориентировочный срок производства — 4 недели.
Отдельно оплачивается:
• Изготовление штампа,
• Золотосодержащие финишные покрытия,
• Изготовление адаптера для электротеста или безадаптерное электротестирование,
• Многослойные платы 5 класса точности, многослойные платы со слепыми и скрытыми переходами.
</t>
  </si>
  <si>
    <t xml:space="preserve">Ориентировочные сроки производства плат на металлическом основании — 3-4 рабочих дня. 
Для плат с более высокими технологическими требованиями (количество слоев более 1, класс точности 5) срок производства - от 3 недель. 
Дни приема и доставки заказа не учитываются. 
Сроки изготовления могут меняться в зависимости от загрузки производства на данный момент.
Внимание!
После поступления срочного заказа изменения в pcb-файлах недопустимы.
</t>
  </si>
  <si>
    <t xml:space="preserve">1. Срок производства ОПП и ДПП без маски — 2 рабочих дня, с маской — 3 дня.
2. Если платы изготавливаются с электротестированием, это увеличивает срок производства на 1—2 рабочих дня.
3. Наличие иммерсионного золочения увеличивает срок изготовления на 1–2 рабочих дня.
Отдельно оплачивается:
• Иммерсионное золочение — 100 руб.
• Подготовка производства различных плат, размещенных на одной заготовке — 300 руб. за каждое объединение.
• Изготовление плат на материале заказчика (кроме стеклотекстолитов), коэффииент = 1,2 от стоимости изготовления плат на FR4
• Проверка платы электротестовым оборудованием на КЗ и обрыв — 40 руб./дм².
Примечание:
Производство не несет ответственности за возможную порчу давальческого материала или дефекты печатных плат в процессе производства из-за его физических характеристик (повышенная хрупкость, мягкость), за качество металлизации, обработки контура и лужения.
</t>
  </si>
  <si>
    <t>есть</t>
  </si>
  <si>
    <t>круг</t>
  </si>
  <si>
    <t>квадрат</t>
  </si>
  <si>
    <t>Внутренний3</t>
  </si>
  <si>
    <t>Внутренний4</t>
  </si>
  <si>
    <t>Внутренний5</t>
  </si>
  <si>
    <t>Внутренний6</t>
  </si>
  <si>
    <t>project@igasdetection.com</t>
  </si>
  <si>
    <t>Только сверху</t>
  </si>
  <si>
    <t>На усмотрение производителя</t>
  </si>
  <si>
    <t>LCP 2216</t>
  </si>
  <si>
    <t xml:space="preserve">г. </t>
  </si>
  <si>
    <t>Срочный модуль</t>
  </si>
  <si>
    <t>ООО "Левин Фотоникс"</t>
  </si>
  <si>
    <t>141190, Московская обл., г. Фрязино,Заводской проезд, дом 2, помещение 704-707</t>
  </si>
  <si>
    <t xml:space="preserve">Трафарет из заказа 58515
Цвет платы синий, шелкография - белый стандартный. Платы отмыть.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</si>
</sst>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0" x14ac:knownFonts="1">
    <font>
      <sz val="10"/>
      <color rgb="FF000000"/>
      <name val="Arial Cyr"/>
    </font>
    <font>
      <b/>
      <sz val="10"/>
      <color rgb="FF0000FF"/>
      <name val="Arial Cyr"/>
    </font>
    <font>
      <sz val="10"/>
      <color rgb="FF008000"/>
      <name val="Arial Cyr"/>
    </font>
    <font>
      <sz val="10"/>
      <color rgb="FFFF0000"/>
      <name val="Arial Cyr"/>
    </font>
    <font>
      <sz val="10"/>
      <color rgb="FFCC99FF"/>
      <name val="Arial Cyr"/>
    </font>
    <font>
      <b/>
      <i/>
      <sz val="8"/>
      <color rgb="FF000000"/>
      <name val="Arial Cyr"/>
    </font>
    <font>
      <b/>
      <i/>
      <sz val="15"/>
      <color rgb="FFFF0000"/>
      <name val="Arial Cyr"/>
    </font>
    <font>
      <sz val="9"/>
      <color rgb="FF000000"/>
      <name val="Arial Cyr"/>
    </font>
    <font>
      <sz val="8"/>
      <color rgb="FF000000"/>
      <name val="Arial Cyr"/>
    </font>
    <font>
      <u/>
      <sz val="10"/>
      <color rgb="FF0000FF"/>
      <name val="Arial Cyr"/>
    </font>
    <font>
      <sz val="14"/>
      <color rgb="FF000000"/>
      <name val="Times New Roman"/>
    </font>
    <font>
      <sz val="9"/>
      <color rgb="FF000000"/>
      <name val="Verdana"/>
    </font>
    <font>
      <b/>
      <sz val="9"/>
      <color rgb="FF000000"/>
      <name val="Verdana"/>
    </font>
    <font>
      <sz val="12"/>
      <color rgb="FF000000"/>
      <name val="Times New Roman"/>
    </font>
    <font>
      <sz val="10"/>
      <color rgb="FF000000"/>
      <name val="Symbol"/>
    </font>
    <font>
      <sz val="10"/>
      <color rgb="FF0000FF"/>
      <name val="Arial Cyr"/>
    </font>
    <font>
      <b/>
      <sz val="12"/>
      <color rgb="FF000000"/>
      <name val="Arial Cyr"/>
    </font>
    <font>
      <sz val="7"/>
      <color rgb="FF000000"/>
      <name val="Arial Cyr"/>
    </font>
    <font>
      <b/>
      <i/>
      <sz val="12"/>
      <color rgb="FFFF0000"/>
      <name val="Arial Cyr"/>
      <charset val="204"/>
    </font>
    <font>
      <u/>
      <sz val="10"/>
      <color theme="10"/>
      <name val="Arial Cy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F00FF"/>
        <bgColor rgb="FFFF00FF"/>
      </patternFill>
    </fill>
  </fills>
  <borders count="26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ck">
        <color rgb="FF000000"/>
      </right>
      <top style="thin">
        <color indexed="8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11">
    <xf numFmtId="0" fontId="0" fillId="2" borderId="0" xfId="0" applyFill="1" applyProtection="1"/>
    <xf numFmtId="0" fontId="0" fillId="2" borderId="0" xfId="0" applyFill="1" applyAlignment="1" applyProtection="1">
      <alignment horizontal="left"/>
    </xf>
    <xf numFmtId="0" fontId="0" fillId="2" borderId="0" xfId="0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0" fillId="2" borderId="1" xfId="0" applyFill="1" applyBorder="1" applyProtection="1"/>
    <xf numFmtId="0" fontId="0" fillId="2" borderId="0" xfId="0" applyFill="1" applyProtection="1"/>
    <xf numFmtId="0" fontId="0" fillId="3" borderId="2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2" borderId="4" xfId="0" applyFill="1" applyBorder="1" applyAlignment="1" applyProtection="1">
      <alignment vertical="top"/>
      <protection locked="0"/>
    </xf>
    <xf numFmtId="0" fontId="0" fillId="2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3" fillId="2" borderId="0" xfId="0" applyFont="1" applyFill="1" applyAlignment="1" applyProtection="1">
      <alignment horizontal="left" vertical="top"/>
    </xf>
    <xf numFmtId="0" fontId="4" fillId="2" borderId="0" xfId="0" applyFont="1" applyFill="1" applyAlignment="1" applyProtection="1">
      <alignment horizontal="left" vertical="top"/>
    </xf>
    <xf numFmtId="0" fontId="0" fillId="2" borderId="0" xfId="0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left"/>
    </xf>
    <xf numFmtId="0" fontId="0" fillId="4" borderId="0" xfId="0" applyFill="1" applyProtection="1"/>
    <xf numFmtId="0" fontId="0" fillId="2" borderId="0" xfId="0" applyFill="1" applyProtection="1"/>
    <xf numFmtId="2" fontId="0" fillId="2" borderId="0" xfId="0" applyNumberFormat="1" applyFill="1" applyProtection="1"/>
    <xf numFmtId="49" fontId="0" fillId="2" borderId="0" xfId="0" applyNumberFormat="1" applyFill="1" applyProtection="1"/>
    <xf numFmtId="0" fontId="6" fillId="2" borderId="0" xfId="0" applyFont="1" applyFill="1" applyProtection="1"/>
    <xf numFmtId="0" fontId="5" fillId="2" borderId="5" xfId="0" applyFont="1" applyFill="1" applyBorder="1" applyAlignment="1" applyProtection="1">
      <alignment horizontal="left"/>
    </xf>
    <xf numFmtId="0" fontId="0" fillId="2" borderId="0" xfId="0" applyFill="1" applyProtection="1"/>
    <xf numFmtId="0" fontId="0" fillId="2" borderId="6" xfId="0" applyFill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/>
    </xf>
    <xf numFmtId="0" fontId="0" fillId="2" borderId="7" xfId="0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left" vertical="center" wrapText="1"/>
    </xf>
    <xf numFmtId="0" fontId="0" fillId="2" borderId="7" xfId="0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left"/>
    </xf>
    <xf numFmtId="0" fontId="0" fillId="2" borderId="9" xfId="0" applyFill="1" applyBorder="1" applyAlignment="1" applyProtection="1">
      <alignment horizontal="right"/>
    </xf>
    <xf numFmtId="0" fontId="0" fillId="2" borderId="7" xfId="0" applyFill="1" applyBorder="1" applyProtection="1">
      <protection locked="0"/>
    </xf>
    <xf numFmtId="0" fontId="9" fillId="2" borderId="0" xfId="0" applyFont="1" applyFill="1" applyAlignment="1" applyProtection="1">
      <alignment horizontal="left" wrapText="1" indent="1"/>
    </xf>
    <xf numFmtId="1" fontId="0" fillId="2" borderId="7" xfId="0" applyNumberFormat="1" applyFill="1" applyBorder="1" applyAlignment="1" applyProtection="1">
      <alignment horizontal="center" vertical="center" wrapText="1"/>
      <protection locked="0"/>
    </xf>
    <xf numFmtId="49" fontId="0" fillId="2" borderId="7" xfId="0" applyNumberFormat="1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center" vertical="center" wrapText="1"/>
      <protection locked="0"/>
    </xf>
    <xf numFmtId="2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2" fontId="0" fillId="2" borderId="7" xfId="0" applyNumberFormat="1" applyFill="1" applyBorder="1" applyAlignment="1" applyProtection="1">
      <alignment horizontal="left" vertical="center" wrapText="1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 applyProtection="1">
      <alignment wrapText="1"/>
    </xf>
    <xf numFmtId="0" fontId="11" fillId="2" borderId="0" xfId="0" applyFont="1" applyFill="1" applyAlignment="1" applyProtection="1">
      <alignment wrapText="1"/>
    </xf>
    <xf numFmtId="0" fontId="0" fillId="2" borderId="0" xfId="0" applyFill="1" applyAlignment="1" applyProtection="1">
      <alignment wrapText="1"/>
    </xf>
    <xf numFmtId="0" fontId="11" fillId="2" borderId="0" xfId="0" applyFont="1" applyFill="1" applyAlignment="1" applyProtection="1">
      <alignment horizontal="left" wrapText="1" indent="1"/>
    </xf>
    <xf numFmtId="0" fontId="11" fillId="2" borderId="0" xfId="0" applyFont="1" applyFill="1" applyProtection="1"/>
    <xf numFmtId="0" fontId="12" fillId="2" borderId="0" xfId="0" applyFont="1" applyFill="1" applyProtection="1"/>
    <xf numFmtId="0" fontId="13" fillId="2" borderId="0" xfId="0" applyFont="1" applyFill="1" applyProtection="1"/>
    <xf numFmtId="0" fontId="14" fillId="2" borderId="0" xfId="0" applyFont="1" applyFill="1" applyProtection="1"/>
    <xf numFmtId="1" fontId="0" fillId="2" borderId="7" xfId="0" applyNumberFormat="1" applyFill="1" applyBorder="1" applyAlignment="1" applyProtection="1">
      <alignment horizontal="center" vertical="center"/>
      <protection locked="0"/>
    </xf>
    <xf numFmtId="49" fontId="0" fillId="2" borderId="7" xfId="0" applyNumberFormat="1" applyFill="1" applyBorder="1" applyAlignment="1" applyProtection="1">
      <alignment horizontal="center" vertical="center"/>
      <protection locked="0"/>
    </xf>
    <xf numFmtId="0" fontId="0" fillId="5" borderId="0" xfId="0" applyFill="1" applyProtection="1"/>
    <xf numFmtId="0" fontId="0" fillId="2" borderId="0" xfId="0" applyFill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</xf>
    <xf numFmtId="0" fontId="0" fillId="2" borderId="0" xfId="0" applyFill="1" applyAlignment="1" applyProtection="1">
      <alignment horizontal="right"/>
    </xf>
    <xf numFmtId="0" fontId="7" fillId="2" borderId="0" xfId="0" applyFont="1" applyFill="1" applyProtection="1"/>
    <xf numFmtId="0" fontId="9" fillId="2" borderId="0" xfId="0" applyFont="1" applyFill="1" applyProtection="1"/>
    <xf numFmtId="0" fontId="0" fillId="2" borderId="7" xfId="0" applyFill="1" applyBorder="1" applyAlignment="1" applyProtection="1">
      <alignment horizontal="left"/>
      <protection locked="0"/>
    </xf>
    <xf numFmtId="2" fontId="3" fillId="2" borderId="7" xfId="0" applyNumberFormat="1" applyFont="1" applyFill="1" applyBorder="1" applyAlignment="1" applyProtection="1">
      <alignment horizontal="left" vertical="center" wrapText="1"/>
      <protection locked="0"/>
    </xf>
    <xf numFmtId="2" fontId="0" fillId="2" borderId="0" xfId="0" applyNumberFormat="1" applyFill="1" applyAlignment="1" applyProtection="1">
      <alignment horizontal="left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49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2" fontId="0" fillId="2" borderId="0" xfId="0" applyNumberFormat="1" applyFill="1" applyAlignment="1" applyProtection="1">
      <alignment horizontal="left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/>
      <protection locked="0"/>
    </xf>
    <xf numFmtId="2" fontId="0" fillId="2" borderId="0" xfId="0" applyNumberFormat="1" applyFill="1" applyAlignment="1" applyProtection="1">
      <alignment horizontal="right"/>
    </xf>
    <xf numFmtId="0" fontId="7" fillId="2" borderId="7" xfId="0" applyFon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right"/>
      <protection locked="0"/>
    </xf>
    <xf numFmtId="2" fontId="0" fillId="2" borderId="0" xfId="0" applyNumberFormat="1" applyFill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right"/>
      <protection locked="0"/>
    </xf>
    <xf numFmtId="49" fontId="0" fillId="2" borderId="0" xfId="0" applyNumberFormat="1" applyFill="1" applyAlignment="1" applyProtection="1">
      <alignment horizontal="right"/>
      <protection locked="0"/>
    </xf>
    <xf numFmtId="0" fontId="18" fillId="2" borderId="22" xfId="0" applyFont="1" applyFill="1" applyBorder="1" applyAlignment="1" applyProtection="1">
      <alignment horizontal="left" vertical="center" wrapText="1"/>
      <protection locked="0"/>
    </xf>
    <xf numFmtId="0" fontId="6" fillId="2" borderId="22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left" vertical="center" wrapText="1"/>
    </xf>
    <xf numFmtId="0" fontId="0" fillId="6" borderId="16" xfId="0" applyFill="1" applyBorder="1" applyAlignment="1" applyProtection="1">
      <alignment horizontal="left" vertical="center" wrapText="1"/>
    </xf>
    <xf numFmtId="49" fontId="8" fillId="4" borderId="19" xfId="0" applyNumberFormat="1" applyFont="1" applyFill="1" applyBorder="1" applyAlignment="1" applyProtection="1">
      <alignment horizontal="left" vertical="center"/>
      <protection locked="0"/>
    </xf>
    <xf numFmtId="49" fontId="8" fillId="4" borderId="20" xfId="0" applyNumberFormat="1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left" vertical="center"/>
      <protection locked="0"/>
    </xf>
    <xf numFmtId="49" fontId="8" fillId="4" borderId="5" xfId="0" applyNumberFormat="1" applyFont="1" applyFill="1" applyBorder="1" applyAlignment="1" applyProtection="1">
      <alignment horizontal="left" vertical="center"/>
      <protection locked="0"/>
    </xf>
    <xf numFmtId="0" fontId="16" fillId="7" borderId="21" xfId="0" applyFont="1" applyFill="1" applyBorder="1" applyAlignment="1" applyProtection="1">
      <alignment horizontal="center"/>
    </xf>
    <xf numFmtId="164" fontId="8" fillId="2" borderId="5" xfId="0" applyNumberFormat="1" applyFont="1" applyFill="1" applyBorder="1" applyAlignment="1" applyProtection="1">
      <alignment horizontal="left" vertical="center" wrapText="1"/>
      <protection locked="0"/>
    </xf>
    <xf numFmtId="0" fontId="8" fillId="6" borderId="16" xfId="0" applyFont="1" applyFill="1" applyBorder="1" applyAlignment="1" applyProtection="1">
      <alignment horizontal="left" vertical="center" wrapText="1"/>
    </xf>
    <xf numFmtId="0" fontId="8" fillId="2" borderId="5" xfId="0" applyFont="1" applyFill="1" applyBorder="1" applyAlignment="1" applyProtection="1">
      <alignment horizontal="left" vertical="top" wrapText="1"/>
      <protection hidden="1"/>
    </xf>
    <xf numFmtId="0" fontId="8" fillId="4" borderId="5" xfId="0" applyFont="1" applyFill="1" applyBorder="1" applyAlignment="1" applyProtection="1">
      <alignment horizontal="left"/>
      <protection locked="0"/>
    </xf>
    <xf numFmtId="0" fontId="7" fillId="3" borderId="16" xfId="0" applyFont="1" applyFill="1" applyBorder="1" applyAlignment="1" applyProtection="1">
      <alignment horizontal="left"/>
    </xf>
    <xf numFmtId="0" fontId="0" fillId="2" borderId="15" xfId="0" applyFill="1" applyBorder="1" applyAlignment="1" applyProtection="1">
      <alignment horizontal="left" vertical="top"/>
      <protection locked="0"/>
    </xf>
    <xf numFmtId="0" fontId="7" fillId="3" borderId="14" xfId="0" applyFont="1" applyFill="1" applyBorder="1" applyAlignment="1" applyProtection="1">
      <alignment horizontal="left"/>
    </xf>
    <xf numFmtId="0" fontId="0" fillId="3" borderId="9" xfId="0" applyFill="1" applyBorder="1" applyAlignment="1" applyProtection="1">
      <alignment horizontal="left"/>
    </xf>
    <xf numFmtId="0" fontId="0" fillId="2" borderId="15" xfId="0" applyFill="1" applyBorder="1" applyAlignment="1" applyProtection="1">
      <alignment vertical="top"/>
      <protection locked="0"/>
    </xf>
    <xf numFmtId="0" fontId="0" fillId="2" borderId="3" xfId="0" applyFill="1" applyBorder="1" applyAlignment="1" applyProtection="1">
      <alignment vertical="top"/>
      <protection locked="0"/>
    </xf>
    <xf numFmtId="0" fontId="5" fillId="2" borderId="16" xfId="0" applyFont="1" applyFill="1" applyBorder="1" applyAlignment="1" applyProtection="1">
      <alignment horizontal="left"/>
    </xf>
    <xf numFmtId="0" fontId="8" fillId="2" borderId="17" xfId="0" applyFont="1" applyFill="1" applyBorder="1" applyAlignment="1" applyProtection="1"/>
    <xf numFmtId="0" fontId="8" fillId="2" borderId="5" xfId="0" applyFont="1" applyFill="1" applyBorder="1" applyAlignment="1" applyProtection="1">
      <alignment horizontal="left" vertical="top" wrapText="1"/>
      <protection locked="0"/>
    </xf>
    <xf numFmtId="0" fontId="8" fillId="2" borderId="18" xfId="0" applyFont="1" applyFill="1" applyBorder="1" applyAlignment="1" applyProtection="1">
      <alignment horizontal="left" vertical="top" wrapText="1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hidden="1"/>
    </xf>
    <xf numFmtId="0" fontId="8" fillId="2" borderId="5" xfId="0" applyFont="1" applyFill="1" applyBorder="1" applyAlignment="1" applyProtection="1">
      <alignment horizontal="left"/>
      <protection locked="0"/>
    </xf>
    <xf numFmtId="164" fontId="8" fillId="2" borderId="5" xfId="0" applyNumberFormat="1" applyFont="1" applyFill="1" applyBorder="1" applyAlignment="1" applyProtection="1">
      <alignment horizontal="left" vertical="center"/>
      <protection locked="0"/>
    </xf>
    <xf numFmtId="2" fontId="0" fillId="4" borderId="5" xfId="0" applyNumberFormat="1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left"/>
    </xf>
    <xf numFmtId="0" fontId="0" fillId="2" borderId="13" xfId="0" applyFill="1" applyBorder="1" applyAlignment="1" applyProtection="1">
      <alignment horizontal="left"/>
    </xf>
    <xf numFmtId="0" fontId="0" fillId="2" borderId="17" xfId="0" applyFill="1" applyBorder="1" applyAlignment="1" applyProtection="1">
      <alignment horizontal="left" vertical="top"/>
      <protection locked="0"/>
    </xf>
    <xf numFmtId="0" fontId="19" fillId="2" borderId="17" xfId="1" applyFill="1" applyBorder="1" applyAlignment="1" applyProtection="1">
      <alignment horizontal="left" vertical="top"/>
      <protection locked="0"/>
    </xf>
    <xf numFmtId="0" fontId="15" fillId="2" borderId="17" xfId="0" applyFont="1" applyFill="1" applyBorder="1" applyAlignment="1" applyProtection="1">
      <alignment horizontal="left" vertical="top"/>
      <protection locked="0"/>
    </xf>
    <xf numFmtId="0" fontId="8" fillId="3" borderId="14" xfId="0" applyFont="1" applyFill="1" applyBorder="1" applyAlignment="1" applyProtection="1">
      <alignment horizontal="left"/>
    </xf>
    <xf numFmtId="0" fontId="0" fillId="2" borderId="23" xfId="0" applyFill="1" applyBorder="1" applyAlignment="1" applyProtection="1">
      <alignment horizontal="left" vertical="top" wrapText="1"/>
      <protection locked="0"/>
    </xf>
    <xf numFmtId="0" fontId="0" fillId="2" borderId="24" xfId="0" applyFill="1" applyBorder="1" applyAlignment="1" applyProtection="1">
      <alignment horizontal="left" vertical="top" wrapText="1"/>
      <protection locked="0"/>
    </xf>
    <xf numFmtId="0" fontId="0" fillId="2" borderId="25" xfId="0" applyFill="1" applyBorder="1" applyAlignment="1" applyProtection="1">
      <alignment horizontal="left" vertical="top" wrapText="1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ject@igasdetection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L116"/>
  <sheetViews>
    <sheetView tabSelected="1" workbookViewId="0">
      <selection activeCell="E16" sqref="E16:F16"/>
    </sheetView>
  </sheetViews>
  <sheetFormatPr defaultRowHeight="13.15" customHeight="1" x14ac:dyDescent="0.25"/>
  <cols>
    <col min="1" max="1" width="7.54296875" style="1" customWidth="1"/>
    <col min="2" max="4" width="12.81640625" style="1" customWidth="1"/>
    <col min="5" max="5" width="12.54296875" style="1" customWidth="1"/>
    <col min="6" max="6" width="5.7265625" style="1" customWidth="1"/>
    <col min="7" max="7" width="12.54296875" style="1" customWidth="1"/>
    <col min="8" max="8" width="5.7265625" style="1" customWidth="1"/>
    <col min="9" max="9" width="12.54296875" style="2" customWidth="1"/>
    <col min="10" max="10" width="5.7265625" style="2" customWidth="1"/>
    <col min="11" max="11" width="12.54296875" style="2" customWidth="1"/>
    <col min="12" max="12" width="5.7265625" style="2" customWidth="1"/>
    <col min="13" max="13" width="18.26953125" style="2" customWidth="1"/>
    <col min="14" max="14" width="0" style="2" hidden="1" customWidth="1"/>
    <col min="15" max="15" width="0" style="3" hidden="1" customWidth="1"/>
    <col min="16" max="19" width="0" style="2" hidden="1" customWidth="1"/>
    <col min="20" max="64" width="0" hidden="1" customWidth="1"/>
  </cols>
  <sheetData>
    <row r="1" spans="1:64" ht="13.15" customHeight="1" x14ac:dyDescent="0.2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53" t="s">
        <v>1</v>
      </c>
      <c r="N1" s="53"/>
      <c r="O1" s="53"/>
      <c r="P1" s="53"/>
      <c r="Q1" s="53">
        <v>1</v>
      </c>
      <c r="R1" s="53"/>
      <c r="S1" s="53"/>
      <c r="T1" s="23"/>
      <c r="U1" s="23"/>
      <c r="V1" s="23"/>
      <c r="W1" s="23"/>
      <c r="X1" s="23"/>
      <c r="Y1" s="23"/>
      <c r="Z1" s="23"/>
      <c r="AA1" s="23">
        <v>2</v>
      </c>
      <c r="AB1" s="23"/>
      <c r="AC1" s="23"/>
      <c r="AD1" s="23"/>
      <c r="AE1" s="23"/>
      <c r="AF1" s="23"/>
      <c r="AG1" s="23"/>
      <c r="AH1" s="23"/>
      <c r="AI1" s="23"/>
      <c r="AJ1" s="23"/>
      <c r="AK1" s="23">
        <v>3</v>
      </c>
      <c r="AL1" s="23"/>
      <c r="AM1" s="23"/>
      <c r="AN1" s="23"/>
      <c r="AO1" s="23"/>
      <c r="AP1" s="23"/>
      <c r="AQ1" s="23"/>
      <c r="AR1" s="23"/>
      <c r="AS1" s="23"/>
      <c r="AT1" s="23"/>
      <c r="AU1" s="23">
        <v>4</v>
      </c>
      <c r="AV1" s="23"/>
      <c r="AW1" s="23"/>
      <c r="AX1" s="23"/>
      <c r="AY1" s="23"/>
      <c r="AZ1" s="23"/>
      <c r="BA1" s="23"/>
      <c r="BB1" s="23"/>
      <c r="BC1" s="23"/>
      <c r="BD1" s="23"/>
      <c r="BE1" s="23">
        <v>5</v>
      </c>
      <c r="BF1" s="23"/>
      <c r="BG1" s="23"/>
      <c r="BH1" s="23"/>
      <c r="BI1" s="23"/>
      <c r="BJ1" s="23"/>
      <c r="BK1" s="23"/>
      <c r="BL1" s="23"/>
    </row>
    <row r="2" spans="1:64" ht="13.15" customHeight="1" x14ac:dyDescent="0.25">
      <c r="A2" s="102" t="s">
        <v>2</v>
      </c>
      <c r="B2" s="102"/>
      <c r="C2" s="102"/>
      <c r="D2" s="102"/>
      <c r="E2" s="103"/>
      <c r="F2" s="103"/>
      <c r="G2" s="103"/>
      <c r="H2" s="103"/>
      <c r="I2" s="103"/>
      <c r="J2" s="103"/>
      <c r="K2" s="103"/>
      <c r="L2" s="103"/>
      <c r="M2" s="4" t="s">
        <v>3</v>
      </c>
      <c r="N2" s="23"/>
      <c r="O2" s="23"/>
      <c r="P2" s="23"/>
      <c r="Q2" s="53"/>
      <c r="R2" s="53"/>
      <c r="S2" s="5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 spans="1:64" ht="13.15" customHeight="1" x14ac:dyDescent="0.25">
      <c r="A3" s="87" t="s">
        <v>4</v>
      </c>
      <c r="B3" s="87"/>
      <c r="C3" s="87"/>
      <c r="D3" s="6" t="s">
        <v>5</v>
      </c>
      <c r="E3" s="86" t="s">
        <v>77</v>
      </c>
      <c r="F3" s="86"/>
      <c r="G3" s="86"/>
      <c r="H3" s="86"/>
      <c r="I3" s="86"/>
      <c r="J3" s="86"/>
      <c r="K3" s="86"/>
      <c r="L3" s="86"/>
      <c r="M3" s="7" t="s">
        <v>6</v>
      </c>
      <c r="N3" s="23"/>
      <c r="O3" s="23"/>
      <c r="P3" s="23"/>
      <c r="Q3" s="53"/>
      <c r="R3" s="53"/>
      <c r="S3" s="5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 spans="1:64" ht="13.15" customHeight="1" x14ac:dyDescent="0.25">
      <c r="A4" s="107" t="s">
        <v>7</v>
      </c>
      <c r="B4" s="107"/>
      <c r="C4" s="107"/>
      <c r="D4" s="6" t="s">
        <v>5</v>
      </c>
      <c r="E4" s="86"/>
      <c r="F4" s="86"/>
      <c r="G4" s="86"/>
      <c r="H4" s="86"/>
      <c r="I4" s="86"/>
      <c r="J4" s="86"/>
      <c r="K4" s="86"/>
      <c r="L4" s="86"/>
      <c r="M4" s="7"/>
      <c r="N4" s="23"/>
      <c r="O4" s="23"/>
      <c r="P4" s="23"/>
      <c r="Q4" s="53"/>
      <c r="R4" s="53"/>
      <c r="S4" s="5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spans="1:64" ht="12.75" customHeight="1" x14ac:dyDescent="0.25">
      <c r="A5" s="85" t="s">
        <v>8</v>
      </c>
      <c r="B5" s="85"/>
      <c r="C5" s="85"/>
      <c r="D5" s="85"/>
      <c r="E5" s="108" t="s">
        <v>78</v>
      </c>
      <c r="F5" s="109"/>
      <c r="G5" s="109"/>
      <c r="H5" s="109"/>
      <c r="I5" s="109"/>
      <c r="J5" s="109"/>
      <c r="K5" s="109"/>
      <c r="L5" s="109"/>
      <c r="M5" s="110"/>
      <c r="N5" s="23"/>
      <c r="O5" s="23"/>
      <c r="P5" s="23"/>
      <c r="Q5" s="53"/>
      <c r="R5" s="53"/>
      <c r="S5" s="5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spans="1:64" ht="13.15" customHeight="1" x14ac:dyDescent="0.25">
      <c r="A6" s="85" t="s">
        <v>9</v>
      </c>
      <c r="B6" s="85"/>
      <c r="C6" s="85"/>
      <c r="D6" s="85"/>
      <c r="E6" s="104">
        <v>74959840437</v>
      </c>
      <c r="F6" s="104"/>
      <c r="G6" s="104"/>
      <c r="H6" s="104"/>
      <c r="I6" s="104"/>
      <c r="J6" s="104"/>
      <c r="K6" s="104"/>
      <c r="L6" s="104"/>
      <c r="M6" s="104"/>
      <c r="N6" s="23"/>
      <c r="O6" s="23"/>
      <c r="P6" s="23"/>
      <c r="Q6" s="53"/>
      <c r="R6" s="53"/>
      <c r="S6" s="5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 spans="1:64" ht="13.15" customHeight="1" x14ac:dyDescent="0.25">
      <c r="A7" s="85" t="s">
        <v>10</v>
      </c>
      <c r="B7" s="85"/>
      <c r="C7" s="85"/>
      <c r="D7" s="85"/>
      <c r="E7" s="105" t="s">
        <v>71</v>
      </c>
      <c r="F7" s="106"/>
      <c r="G7" s="106"/>
      <c r="H7" s="106"/>
      <c r="I7" s="106"/>
      <c r="J7" s="106"/>
      <c r="K7" s="106"/>
      <c r="L7" s="106"/>
      <c r="M7" s="106"/>
      <c r="N7" s="23"/>
      <c r="O7" s="23"/>
      <c r="P7" s="23"/>
      <c r="Q7" s="53"/>
      <c r="R7" s="53"/>
      <c r="S7" s="5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64" ht="13.15" customHeight="1" x14ac:dyDescent="0.25">
      <c r="A8" s="85" t="s">
        <v>11</v>
      </c>
      <c r="B8" s="85"/>
      <c r="C8" s="85"/>
      <c r="D8" s="85"/>
      <c r="E8" s="86" t="s">
        <v>12</v>
      </c>
      <c r="F8" s="86"/>
      <c r="G8" s="86"/>
      <c r="H8" s="86"/>
      <c r="I8" s="86"/>
      <c r="J8" s="86"/>
      <c r="K8" s="86"/>
      <c r="L8" s="86"/>
      <c r="M8" s="8"/>
      <c r="N8" s="23"/>
      <c r="O8" s="23"/>
      <c r="P8" s="23"/>
      <c r="Q8" s="53"/>
      <c r="R8" s="53"/>
      <c r="S8" s="5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spans="1:64" ht="12.75" customHeight="1" x14ac:dyDescent="0.25">
      <c r="A9" s="87" t="s">
        <v>75</v>
      </c>
      <c r="B9" s="87"/>
      <c r="C9" s="88" t="s">
        <v>13</v>
      </c>
      <c r="D9" s="88"/>
      <c r="E9" s="89"/>
      <c r="F9" s="89"/>
      <c r="G9" s="90" t="s">
        <v>78</v>
      </c>
      <c r="H9" s="90"/>
      <c r="I9" s="90"/>
      <c r="J9" s="90"/>
      <c r="K9" s="90"/>
      <c r="L9" s="90"/>
      <c r="M9" s="90"/>
      <c r="N9" s="23"/>
      <c r="O9" s="23"/>
      <c r="P9" s="23"/>
      <c r="Q9" s="53" t="s">
        <v>14</v>
      </c>
      <c r="R9" s="53" t="s">
        <v>15</v>
      </c>
      <c r="S9" s="53" t="s">
        <v>16</v>
      </c>
      <c r="T9" s="53" t="s">
        <v>17</v>
      </c>
      <c r="U9" s="53" t="s">
        <v>18</v>
      </c>
      <c r="V9" s="53" t="s">
        <v>19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</row>
    <row r="10" spans="1:64" ht="13.15" customHeight="1" x14ac:dyDescent="0.25">
      <c r="A10" s="91" t="s">
        <v>20</v>
      </c>
      <c r="B10" s="91"/>
      <c r="C10" s="91"/>
      <c r="D10" s="91"/>
      <c r="E10" s="92" t="s">
        <v>21</v>
      </c>
      <c r="F10" s="92"/>
      <c r="G10" s="92"/>
      <c r="H10" s="92"/>
      <c r="I10" s="92"/>
      <c r="J10" s="92"/>
      <c r="K10" s="92"/>
      <c r="L10" s="92"/>
      <c r="M10" s="92"/>
      <c r="N10" s="23"/>
      <c r="O10" s="23"/>
      <c r="P10" s="23"/>
      <c r="Q10" s="53"/>
      <c r="R10" s="53"/>
      <c r="S10" s="5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s="9" customFormat="1" ht="12.75" customHeight="1" x14ac:dyDescent="0.25">
      <c r="A11" s="75" t="s">
        <v>22</v>
      </c>
      <c r="B11" s="75"/>
      <c r="C11" s="75"/>
      <c r="D11" s="75"/>
      <c r="E11" s="93" t="s">
        <v>74</v>
      </c>
      <c r="F11" s="93"/>
      <c r="G11" s="94"/>
      <c r="H11" s="94"/>
      <c r="I11" s="94"/>
      <c r="J11" s="94"/>
      <c r="K11" s="94"/>
      <c r="L11" s="94"/>
      <c r="M11" s="94"/>
      <c r="Q11" s="9" t="s">
        <v>23</v>
      </c>
      <c r="AA11" s="9" t="s">
        <v>23</v>
      </c>
      <c r="AK11" s="9" t="s">
        <v>23</v>
      </c>
      <c r="AU11" s="9" t="s">
        <v>23</v>
      </c>
    </row>
    <row r="12" spans="1:64" s="9" customFormat="1" ht="12.75" customHeight="1" x14ac:dyDescent="0.25">
      <c r="A12" s="75" t="s">
        <v>24</v>
      </c>
      <c r="B12" s="75"/>
      <c r="C12" s="75"/>
      <c r="D12" s="75"/>
      <c r="E12" s="95" t="s">
        <v>25</v>
      </c>
      <c r="F12" s="95"/>
      <c r="G12" s="94"/>
      <c r="H12" s="94"/>
      <c r="I12" s="94"/>
      <c r="J12" s="94"/>
      <c r="K12" s="94"/>
      <c r="L12" s="94"/>
      <c r="M12" s="94"/>
      <c r="N12" s="10"/>
      <c r="O12" s="10"/>
      <c r="P12" s="10"/>
      <c r="Q12" s="9" t="s">
        <v>26</v>
      </c>
      <c r="R12" s="9" t="s">
        <v>25</v>
      </c>
      <c r="AA12" s="9" t="s">
        <v>27</v>
      </c>
      <c r="AB12" s="9" t="s">
        <v>28</v>
      </c>
      <c r="AK12" s="9" t="s">
        <v>27</v>
      </c>
      <c r="AL12" s="9" t="s">
        <v>28</v>
      </c>
      <c r="AU12" s="9" t="s">
        <v>27</v>
      </c>
      <c r="AV12" s="9" t="s">
        <v>28</v>
      </c>
      <c r="BE12" s="9" t="s">
        <v>27</v>
      </c>
      <c r="BF12" s="9" t="s">
        <v>28</v>
      </c>
    </row>
    <row r="13" spans="1:64" s="9" customFormat="1" ht="12.75" customHeight="1" x14ac:dyDescent="0.25">
      <c r="A13" s="75" t="s">
        <v>29</v>
      </c>
      <c r="B13" s="75"/>
      <c r="C13" s="75"/>
      <c r="D13" s="75"/>
      <c r="E13" s="9" t="s">
        <v>76</v>
      </c>
      <c r="G13" s="94"/>
      <c r="H13" s="94"/>
      <c r="I13" s="94"/>
      <c r="J13" s="94"/>
      <c r="K13" s="94"/>
      <c r="L13" s="94"/>
      <c r="M13" s="94"/>
      <c r="N13" s="10"/>
      <c r="O13" s="10"/>
      <c r="P13" s="10"/>
      <c r="Q13" s="11" t="s">
        <v>30</v>
      </c>
      <c r="R13" s="9" t="s">
        <v>31</v>
      </c>
      <c r="S13" s="12" t="s">
        <v>32</v>
      </c>
      <c r="T13" s="13" t="s">
        <v>33</v>
      </c>
      <c r="U13" s="14" t="s">
        <v>34</v>
      </c>
      <c r="V13" s="9" t="s">
        <v>35</v>
      </c>
      <c r="AA13" s="11" t="s">
        <v>30</v>
      </c>
      <c r="AB13" s="9" t="s">
        <v>31</v>
      </c>
      <c r="AC13" s="12" t="s">
        <v>32</v>
      </c>
      <c r="AD13" s="13" t="s">
        <v>33</v>
      </c>
      <c r="AE13" s="13"/>
      <c r="AK13" s="11" t="s">
        <v>30</v>
      </c>
      <c r="AL13" s="9" t="s">
        <v>31</v>
      </c>
      <c r="AM13" s="12" t="s">
        <v>32</v>
      </c>
      <c r="AN13" s="13" t="s">
        <v>33</v>
      </c>
      <c r="AO13" s="13"/>
      <c r="AU13" s="11" t="s">
        <v>30</v>
      </c>
      <c r="AV13" s="9" t="s">
        <v>31</v>
      </c>
      <c r="AW13" s="12" t="s">
        <v>32</v>
      </c>
      <c r="AX13" s="13" t="s">
        <v>33</v>
      </c>
      <c r="AY13" s="13"/>
      <c r="BE13" s="11" t="s">
        <v>30</v>
      </c>
      <c r="BF13" s="9" t="s">
        <v>31</v>
      </c>
      <c r="BG13" s="12" t="s">
        <v>32</v>
      </c>
      <c r="BH13" s="13" t="s">
        <v>33</v>
      </c>
      <c r="BI13" s="13"/>
    </row>
    <row r="14" spans="1:64" s="9" customFormat="1" ht="12.75" hidden="1" customHeight="1" x14ac:dyDescent="0.25">
      <c r="A14" s="75" t="s">
        <v>36</v>
      </c>
      <c r="B14" s="75"/>
      <c r="C14" s="75"/>
      <c r="D14" s="75"/>
      <c r="E14" s="96" t="e">
        <f>IF(OR(#REF!="Мелкие и средние серии",#REF!="Крупные серии"),"3-4недели",IF(AND(#REF!="Срочное изготовление",$E$21&gt;2),"7-10 дней",IF(#REF!="Супер-Экспресс","1-2 дня",IF(#REF!="Срочное изготовление","2-3 дня",""))))</f>
        <v>#REF!</v>
      </c>
      <c r="F14" s="96"/>
      <c r="G14" s="94"/>
      <c r="H14" s="94"/>
      <c r="I14" s="94"/>
      <c r="J14" s="94"/>
      <c r="K14" s="94"/>
      <c r="L14" s="94"/>
      <c r="M14" s="94"/>
      <c r="N14" s="10"/>
      <c r="O14" s="10"/>
      <c r="P14" s="10"/>
      <c r="Q14" s="11"/>
      <c r="S14" s="12"/>
      <c r="T14" s="13"/>
      <c r="AA14" s="11"/>
      <c r="AC14" s="12"/>
      <c r="AD14" s="13"/>
      <c r="AE14" s="13"/>
      <c r="AK14" s="11"/>
      <c r="AM14" s="12"/>
      <c r="AN14" s="13"/>
      <c r="AO14" s="13"/>
      <c r="AU14" s="11"/>
      <c r="AW14" s="12"/>
      <c r="AX14" s="13"/>
      <c r="AY14" s="13"/>
      <c r="BE14" s="11"/>
      <c r="BG14" s="12"/>
      <c r="BH14" s="13"/>
      <c r="BI14" s="13"/>
    </row>
    <row r="15" spans="1:64" s="9" customFormat="1" ht="12.75" customHeight="1" x14ac:dyDescent="0.25">
      <c r="A15" s="75" t="s">
        <v>37</v>
      </c>
      <c r="B15" s="75"/>
      <c r="C15" s="75"/>
      <c r="D15" s="75"/>
      <c r="E15" s="97">
        <v>20</v>
      </c>
      <c r="F15" s="97"/>
      <c r="G15" s="94"/>
      <c r="H15" s="94"/>
      <c r="I15" s="94"/>
      <c r="J15" s="94"/>
      <c r="K15" s="94"/>
      <c r="L15" s="94"/>
      <c r="M15" s="94"/>
      <c r="N15" s="23"/>
      <c r="O15" s="23"/>
      <c r="P15" s="23"/>
    </row>
    <row r="16" spans="1:64" s="9" customFormat="1" ht="12.75" customHeight="1" x14ac:dyDescent="0.25">
      <c r="A16" s="75" t="s">
        <v>38</v>
      </c>
      <c r="B16" s="75"/>
      <c r="C16" s="75"/>
      <c r="D16" s="75"/>
      <c r="E16" s="98">
        <v>153</v>
      </c>
      <c r="F16" s="98"/>
      <c r="G16" s="94"/>
      <c r="H16" s="94"/>
      <c r="I16" s="94"/>
      <c r="J16" s="94"/>
      <c r="K16" s="94"/>
      <c r="L16" s="94"/>
      <c r="M16" s="94"/>
      <c r="N16" s="15"/>
      <c r="O16" s="15"/>
      <c r="P16" s="23"/>
    </row>
    <row r="17" spans="1:64" s="9" customFormat="1" ht="12.75" customHeight="1" x14ac:dyDescent="0.2">
      <c r="A17" s="75" t="s">
        <v>39</v>
      </c>
      <c r="B17" s="75"/>
      <c r="C17" s="75"/>
      <c r="D17" s="75"/>
      <c r="E17" s="81">
        <v>51</v>
      </c>
      <c r="F17" s="81"/>
      <c r="G17" s="94"/>
      <c r="H17" s="94"/>
      <c r="I17" s="94"/>
      <c r="J17" s="94"/>
      <c r="K17" s="94"/>
      <c r="L17" s="94"/>
      <c r="M17" s="94"/>
      <c r="N17" s="15"/>
      <c r="O17" s="15"/>
      <c r="Q17" s="22" t="e">
        <f>IF(#REF!=$Q$13,1,(IF(#REF!=$R$13,2,(IF(#REF!=$S$13,3,(IF(#REF!=$T$13,4,IF(#REF!=$U$13,5,IF(#REF!=$V$13,6,"")))))))))</f>
        <v>#REF!</v>
      </c>
      <c r="AA17" s="22" t="str">
        <f>IF($G$13=$Q$13,1,(IF($G$13=$R$13,2,(IF($G$13=$S$13,3,(IF($G$13=$T$13,4,"")))))))</f>
        <v/>
      </c>
      <c r="AK17" s="22" t="str">
        <f>IF($I$13=$AK$13,1,(IF($I$13=$AL$13,2,(IF($I$13=$AM$13,3,(IF($I$13=$AN$13,4,"")))))))</f>
        <v/>
      </c>
      <c r="AU17" s="22" t="str">
        <f>IF($K$13=$AU$13,1,(IF($K$13=$AV$13,2,(IF($K$13=$AW$13,3,(IF($K$13=$AX$13,4,"")))))))</f>
        <v/>
      </c>
      <c r="BE17" s="22" t="str">
        <f>IF($M$13=$BE$13,1,(IF($M$13=$BF$13,2,(IF($M$13=$BG$13,3,(IF($M$13=$BH$13,4,"")))))))</f>
        <v/>
      </c>
    </row>
    <row r="18" spans="1:64" s="9" customFormat="1" ht="12.75" customHeight="1" x14ac:dyDescent="0.2">
      <c r="A18" s="82" t="s">
        <v>40</v>
      </c>
      <c r="B18" s="82"/>
      <c r="C18" s="82"/>
      <c r="D18" s="82"/>
      <c r="E18" s="83">
        <f>IF(OR(E16=0,E17=0),"",(E16/100)*(E17/100))</f>
        <v>0.78029999999999999</v>
      </c>
      <c r="F18" s="83"/>
      <c r="G18" s="94"/>
      <c r="H18" s="94"/>
      <c r="I18" s="94"/>
      <c r="J18" s="94"/>
      <c r="K18" s="94"/>
      <c r="L18" s="94"/>
      <c r="M18" s="94"/>
      <c r="Q18" s="16"/>
      <c r="AA18" s="16"/>
      <c r="AK18" s="16"/>
      <c r="AU18" s="16"/>
      <c r="BE18" s="16"/>
    </row>
    <row r="19" spans="1:64" s="18" customFormat="1" ht="25.5" customHeight="1" x14ac:dyDescent="0.25">
      <c r="A19" s="75" t="s">
        <v>41</v>
      </c>
      <c r="B19" s="75"/>
      <c r="C19" s="75"/>
      <c r="D19" s="75"/>
      <c r="E19" s="99">
        <v>1.5</v>
      </c>
      <c r="F19" s="99"/>
      <c r="G19" s="94"/>
      <c r="H19" s="94"/>
      <c r="I19" s="94"/>
      <c r="J19" s="94"/>
      <c r="K19" s="94"/>
      <c r="L19" s="94"/>
      <c r="M19" s="94"/>
      <c r="N19" s="17"/>
      <c r="O19" s="17"/>
      <c r="P19" s="17"/>
      <c r="Q19" s="23" t="str">
        <f>IF($E$12="повторно",$Q$11,0.5)</f>
        <v>без изменений</v>
      </c>
      <c r="R19" s="23" t="str">
        <f>IF($E$12="повторно",$Q$11,0.8)</f>
        <v>без изменений</v>
      </c>
      <c r="S19" s="23" t="str">
        <f>IF($E$12="повторно",$Q$11,1)</f>
        <v>без изменений</v>
      </c>
      <c r="T19" s="23" t="str">
        <f>IF($E$12="повторно",$Q$11,1.5)</f>
        <v>без изменений</v>
      </c>
      <c r="U19" s="23" t="str">
        <f>IF($E$12="повторно",$Q$11,2)</f>
        <v>без изменений</v>
      </c>
      <c r="V19" s="23" t="str">
        <f>IF($E$12="повторно",$Q$11,IF(OR(Q17=1,Q17=2),"",3))</f>
        <v>без изменений</v>
      </c>
      <c r="W19" s="23"/>
      <c r="X19" s="23"/>
      <c r="Y19" s="23"/>
      <c r="Z19" s="23"/>
      <c r="AA19" s="23">
        <f>IF($G$12="Повторный",$Q$11,0.5)</f>
        <v>0.5</v>
      </c>
      <c r="AB19" s="23">
        <f>IF($G$12="Повторный",$Q$11,0.8)</f>
        <v>0.8</v>
      </c>
      <c r="AC19" s="23">
        <f>IF($G$12="Повторный",$Q$11,1)</f>
        <v>1</v>
      </c>
      <c r="AD19" s="23">
        <f>IF($G$12="Повторный",$Q$11,1.5)</f>
        <v>1.5</v>
      </c>
      <c r="AE19" s="23">
        <f>IF($G$12="Повторный",$Q$11,2)</f>
        <v>2</v>
      </c>
      <c r="AF19" s="23">
        <f>IF($G$12="Повторный",$Q$11,IF(OR(AA17=1,AA17=2),"",3))</f>
        <v>3</v>
      </c>
      <c r="AG19" s="23"/>
      <c r="AH19" s="23"/>
      <c r="AI19" s="23"/>
      <c r="AJ19" s="23"/>
      <c r="AK19" s="23">
        <f>IF($I$12="Повторный",$Q$11,0.5)</f>
        <v>0.5</v>
      </c>
      <c r="AL19" s="23">
        <f>IF($I$12="Повторный",$Q$11,0.8)</f>
        <v>0.8</v>
      </c>
      <c r="AM19" s="23">
        <f>IF($I$12="Повторный",$Q$11,1)</f>
        <v>1</v>
      </c>
      <c r="AN19" s="23">
        <f>IF($I$12="Повторный",$Q$11,1.5)</f>
        <v>1.5</v>
      </c>
      <c r="AO19" s="23">
        <f>IF($I$12="Повторный",$Q$11,2)</f>
        <v>2</v>
      </c>
      <c r="AP19" s="23">
        <f>IF($I$12="Повторный",$Q$11,IF(OR(AK17=1,AK17=2),"",3))</f>
        <v>3</v>
      </c>
      <c r="AQ19" s="23"/>
      <c r="AR19" s="23"/>
      <c r="AS19" s="23"/>
      <c r="AT19" s="23"/>
      <c r="AU19" s="23">
        <f>IF($K$12="Повторный",$Q$11,0.5)</f>
        <v>0.5</v>
      </c>
      <c r="AV19" s="23">
        <f>IF($K$12="Повторный",$Q$11,0.8)</f>
        <v>0.8</v>
      </c>
      <c r="AW19" s="23">
        <f>IF($K$12="Повторный",$Q$11,1)</f>
        <v>1</v>
      </c>
      <c r="AX19" s="23">
        <f>IF($K$12="Повторный",$Q$11,1.5)</f>
        <v>1.5</v>
      </c>
      <c r="AY19" s="23">
        <f>IF($K$12="Повторный",$Q$11,2)</f>
        <v>2</v>
      </c>
      <c r="AZ19" s="23">
        <f>IF($K$12="Повторный",$Q$11,IF(OR(AU17=1,AU17=2),"",3))</f>
        <v>3</v>
      </c>
      <c r="BA19" s="23"/>
      <c r="BB19" s="23"/>
      <c r="BC19" s="23"/>
      <c r="BD19" s="23"/>
      <c r="BE19" s="23">
        <f>IF($M$12="Повторный",$Q$11,0.5)</f>
        <v>0.5</v>
      </c>
      <c r="BF19" s="23">
        <f>IF($M$12="Повторный",$Q$11,0.8)</f>
        <v>0.8</v>
      </c>
      <c r="BG19" s="23">
        <f>IF($M$12="Повторный",$Q$11,1)</f>
        <v>1</v>
      </c>
      <c r="BH19" s="23">
        <f>IF($M$12="Повторный",$Q$11,1.5)</f>
        <v>1.5</v>
      </c>
      <c r="BI19" s="23">
        <f>IF($M$12="Повторный",$Q$11,2)</f>
        <v>2</v>
      </c>
      <c r="BJ19" s="23">
        <f>IF($M$12="Повторный",$Q$11,IF(OR(BE17=1,BE17=2),"",3))</f>
        <v>3</v>
      </c>
      <c r="BK19" s="23"/>
      <c r="BL19" s="23"/>
    </row>
    <row r="20" spans="1:64" s="18" customFormat="1" ht="12.75" customHeight="1" x14ac:dyDescent="0.25">
      <c r="A20" s="75" t="s">
        <v>42</v>
      </c>
      <c r="B20" s="75"/>
      <c r="C20" s="75"/>
      <c r="D20" s="75"/>
      <c r="E20" s="100">
        <v>18</v>
      </c>
      <c r="F20" s="100"/>
      <c r="G20" s="94"/>
      <c r="H20" s="94"/>
      <c r="I20" s="94"/>
      <c r="J20" s="94"/>
      <c r="K20" s="94"/>
      <c r="L20" s="94"/>
      <c r="M20" s="94"/>
      <c r="N20" s="17"/>
      <c r="O20" s="17"/>
      <c r="P20" s="17"/>
      <c r="Q20" s="23" t="str">
        <f>IF($E$12="повторно",$Q$11,18)</f>
        <v>без изменений</v>
      </c>
      <c r="R20" s="23" t="str">
        <f>IF($E$12="повторно",$Q$11,35)</f>
        <v>без изменений</v>
      </c>
      <c r="S20" s="23" t="str">
        <f>IF($E$12="повторно",$Q$11,IF(OR(Q17=4,Q17=3,Q17=1,E19=2),70,""))</f>
        <v>без изменений</v>
      </c>
      <c r="T20" s="23" t="str">
        <f>IF($E$12="повторно",$Q$11,IF(OR(Q17=4,Q17=3,Q17=1,E19=1.5),105,""))</f>
        <v>без изменений</v>
      </c>
      <c r="U20" s="23"/>
      <c r="V20" s="23"/>
      <c r="W20" s="23"/>
      <c r="X20" s="23"/>
      <c r="Y20" s="23"/>
      <c r="Z20" s="23"/>
      <c r="AA20" s="23">
        <f>IF($G$12="Повторный",$Q$11,18)</f>
        <v>18</v>
      </c>
      <c r="AB20" s="23">
        <f>IF($G$12="Повторный",$Q$11,35)</f>
        <v>35</v>
      </c>
      <c r="AC20" s="23" t="str">
        <f>IF($G$12="Повторный",$Q$11,IF(OR(AA17=4,AA17=3,AA17=1,G19=2),70,""))</f>
        <v/>
      </c>
      <c r="AD20" s="23" t="str">
        <f>IF($G$12="Повторный",$Q$11,IF(OR(AA17=4,AA17=3,AA17=1,G19=1.5),105,""))</f>
        <v/>
      </c>
      <c r="AE20" s="23"/>
      <c r="AF20" s="23"/>
      <c r="AG20" s="23"/>
      <c r="AH20" s="23"/>
      <c r="AI20" s="23"/>
      <c r="AJ20" s="23"/>
      <c r="AK20" s="23">
        <f>IF($I$12="Повторный",$Q$11,18)</f>
        <v>18</v>
      </c>
      <c r="AL20" s="23">
        <f>IF($I$12="Повторный",$Q$11,35)</f>
        <v>35</v>
      </c>
      <c r="AM20" s="23" t="str">
        <f>IF($I$12="Повторный",$Q$11,IF(OR(AK17=4,AK17=3,AK17=1,I19=2),70,""))</f>
        <v/>
      </c>
      <c r="AN20" s="23" t="str">
        <f>IF($I$12="Повторный",$Q$11,IF(OR(AK17=4,AK17=3,AK17=1,I19=1.5),105,""))</f>
        <v/>
      </c>
      <c r="AO20" s="23"/>
      <c r="AP20" s="23"/>
      <c r="AQ20" s="23"/>
      <c r="AR20" s="23"/>
      <c r="AS20" s="23"/>
      <c r="AT20" s="23"/>
      <c r="AU20" s="23">
        <f>IF($K$12="Повторный",$Q$11,18)</f>
        <v>18</v>
      </c>
      <c r="AV20" s="23">
        <f>IF($K$12="Повторный",$Q$11,35)</f>
        <v>35</v>
      </c>
      <c r="AW20" s="23" t="str">
        <f>IF($K$12="Повторный",$Q$11,IF(OR(AU17=4,AU17=3,AU17=1,K19=2),70,""))</f>
        <v/>
      </c>
      <c r="AX20" s="23" t="str">
        <f>IF($K$12="Повторный",$Q$11,IF(OR(AU17=4,AU17=3,AU17=1,K19=1.5),105,""))</f>
        <v/>
      </c>
      <c r="AY20" s="23"/>
      <c r="AZ20" s="23"/>
      <c r="BA20" s="23"/>
      <c r="BB20" s="23"/>
      <c r="BC20" s="23"/>
      <c r="BD20" s="23"/>
      <c r="BE20" s="23">
        <f>IF($M$12="Повторный",$Q$11,18)</f>
        <v>18</v>
      </c>
      <c r="BF20" s="23">
        <f>IF($M$12="Повторный",$Q$11,35)</f>
        <v>35</v>
      </c>
      <c r="BG20" s="23" t="str">
        <f>IF($M$12="Повторный",$Q$11,IF(OR(BE17=4,BE17=3,BE17=1,M19=2),70,""))</f>
        <v/>
      </c>
      <c r="BH20" s="23" t="str">
        <f>IF($M$12="Повторный",$Q$11,IF(OR(BE17=4,BE17=3,BE17=1,M19=1.5),105,""))</f>
        <v/>
      </c>
      <c r="BI20" s="23"/>
      <c r="BJ20" s="23"/>
      <c r="BK20" s="23"/>
      <c r="BL20" s="23"/>
    </row>
    <row r="21" spans="1:64" s="18" customFormat="1" ht="12.75" customHeight="1" x14ac:dyDescent="0.25">
      <c r="A21" s="75" t="s">
        <v>43</v>
      </c>
      <c r="B21" s="75"/>
      <c r="C21" s="75"/>
      <c r="D21" s="75"/>
      <c r="E21" s="78">
        <v>4</v>
      </c>
      <c r="F21" s="78"/>
      <c r="G21" s="94"/>
      <c r="H21" s="94"/>
      <c r="I21" s="94"/>
      <c r="J21" s="94"/>
      <c r="K21" s="94"/>
      <c r="L21" s="94"/>
      <c r="M21" s="94"/>
      <c r="N21" s="17"/>
      <c r="O21" s="17"/>
      <c r="P21" s="17"/>
      <c r="Q21" s="23" t="str">
        <f>IF($E$12="повторно",$Q$11,1)</f>
        <v>без изменений</v>
      </c>
      <c r="R21" s="23" t="str">
        <f>IF($E$12="повторно",$Q$11,2)</f>
        <v>без изменений</v>
      </c>
      <c r="S21" s="23" t="str">
        <f>IF($E$12="повторно",$Q$11,IF(OR($Q$17=0,$Q$17=2),"",3))</f>
        <v>без изменений</v>
      </c>
      <c r="T21" s="23" t="str">
        <f>IF($E$12="повторно",$Q$11,IF(OR($Q$17=0,$Q$17=2),"",4))</f>
        <v>без изменений</v>
      </c>
      <c r="U21" s="23" t="str">
        <f>IF($E$12="повторно",$Q$11,IF(OR($Q$17=0,$Q$17=2),"",5))</f>
        <v>без изменений</v>
      </c>
      <c r="V21" s="23" t="str">
        <f>IF($E$12="повторно",$Q$11,IF(OR($Q$17=0,$Q$17=2),"",6))</f>
        <v>без изменений</v>
      </c>
      <c r="W21" s="23" t="str">
        <f>IF($E$12="повторно",$Q$11,IF(OR($Q$17=0,$Q$17=2),"",7))</f>
        <v>без изменений</v>
      </c>
      <c r="X21" s="23" t="str">
        <f>IF($E$12="повторно",$Q$11,IF(OR($Q$17=0,$Q$17=2),"",8))</f>
        <v>без изменений</v>
      </c>
      <c r="Y21" s="23"/>
      <c r="Z21" s="23"/>
      <c r="AA21" s="23">
        <f>IF($G$12="Повторный",$Q$11,1)</f>
        <v>1</v>
      </c>
      <c r="AB21" s="23">
        <f>IF($G$12="Повторный",$Q$11,2)</f>
        <v>2</v>
      </c>
      <c r="AC21" s="23">
        <f>IF($G$12="Повторный",$Q$11,IF(OR($AA$17=0,$AA$17=2),"",3))</f>
        <v>3</v>
      </c>
      <c r="AD21" s="23">
        <f>IF($G$12="Повторный",$Q$11,IF(OR($AA$17=0,$AA$17=2),"",4))</f>
        <v>4</v>
      </c>
      <c r="AE21" s="23">
        <f>IF($G$12="Повторный",$Q$11,IF(OR($AA$17=0,$AA$17=2),"",5))</f>
        <v>5</v>
      </c>
      <c r="AF21" s="23">
        <f>IF($G$12="Повторный",$Q$11,IF(OR($AA$17=0,$AA$17=2),"",6))</f>
        <v>6</v>
      </c>
      <c r="AG21" s="23">
        <f>IF($G$12="Повторный",$Q$11,IF(OR($AA$17=0,$AA$17=2),"",7))</f>
        <v>7</v>
      </c>
      <c r="AH21" s="23">
        <f>IF($G$12="Повторный",$Q$11,IF(OR($AA$17=0,$AA$17=2),"",8))</f>
        <v>8</v>
      </c>
      <c r="AI21" s="23"/>
      <c r="AJ21" s="23"/>
      <c r="AK21" s="23">
        <f>IF($I$12="Повторный",$Q$11,1)</f>
        <v>1</v>
      </c>
      <c r="AL21" s="23">
        <f>IF($I$12="Повторный",$Q$11,2)</f>
        <v>2</v>
      </c>
      <c r="AM21" s="23">
        <f>IF($I$12="Повторный",$Q$11,IF(OR($AK$17=0,$AK$17=2),"",3))</f>
        <v>3</v>
      </c>
      <c r="AN21" s="23">
        <f>IF($I$12="Повторный",$Q$11,IF(OR($AK$17=0,$AK$17=2),"",4))</f>
        <v>4</v>
      </c>
      <c r="AO21" s="23">
        <f>IF($I$12="Повторный",$Q$11,IF(OR($AK$17=0,$AK$17=2),"",5))</f>
        <v>5</v>
      </c>
      <c r="AP21" s="23">
        <f>IF($I$12="Повторный",$Q$11,IF(OR($AK$17=0,$AK$17=2),"",6))</f>
        <v>6</v>
      </c>
      <c r="AQ21" s="23">
        <f>IF($I$12="Повторный",$Q$11,IF(OR($AK$17=0,$AK$17=2),"",7))</f>
        <v>7</v>
      </c>
      <c r="AR21" s="23">
        <f>IF($I$12="Повторный",$Q$11,IF(OR($AK$17=0,$AK$17=2),"",8))</f>
        <v>8</v>
      </c>
      <c r="AS21" s="23"/>
      <c r="AT21" s="23"/>
      <c r="AU21" s="23">
        <f>IF($K$12="Повторный",$Q$11,1)</f>
        <v>1</v>
      </c>
      <c r="AV21" s="23">
        <f>IF($K$12="Повторный",$Q$11,2)</f>
        <v>2</v>
      </c>
      <c r="AW21" s="23">
        <f>IF($K$12="Повторный",$Q$11,IF(OR($AU$17=0,$AU$17=2),"",3))</f>
        <v>3</v>
      </c>
      <c r="AX21" s="23">
        <f>IF($K$12="Повторный",$Q$11,IF(OR($AU$17=0,$AU$17=2),"",4))</f>
        <v>4</v>
      </c>
      <c r="AY21" s="23">
        <f>IF($K$12="Повторный",$Q$11,IF(OR($AU$17=0,$AU$17=2),"",5))</f>
        <v>5</v>
      </c>
      <c r="AZ21" s="23">
        <f>IF($K$12="Повторный",$Q$11,IF(OR($AU$17=0,$AU$17=2),"",6))</f>
        <v>6</v>
      </c>
      <c r="BA21" s="23">
        <f>IF($K$12="Повторный",$Q$11,IF(OR($AU$17=0,$AU$17=2),"",7))</f>
        <v>7</v>
      </c>
      <c r="BB21" s="23">
        <f>IF($K$12="Повторный",$Q$11,IF(OR($AU$17=0,$AU$17=2),"",8))</f>
        <v>8</v>
      </c>
      <c r="BC21" s="23"/>
      <c r="BD21" s="23"/>
      <c r="BE21" s="23">
        <f>IF($M$12="Повторный",$Q$11,1)</f>
        <v>1</v>
      </c>
      <c r="BF21" s="23">
        <f>IF($M$12="Повторный",$Q$11,2)</f>
        <v>2</v>
      </c>
      <c r="BG21" s="23">
        <f>IF($M$12="Повторный",$Q$11,IF(OR($BE$17=0,$BE$17=2),"",3))</f>
        <v>3</v>
      </c>
      <c r="BH21" s="23">
        <f>IF($M$12="Повторный",$Q$11,IF(OR($BE$17=0,$BE$17=2),"",4))</f>
        <v>4</v>
      </c>
      <c r="BI21" s="23">
        <f>IF($M$12="Повторный",$Q$11,IF(OR($BE$17=0,$BE$17=2),"",5))</f>
        <v>5</v>
      </c>
      <c r="BJ21" s="23">
        <f>IF($M$12="Повторный",$Q$11,IF(OR($BE$17=0,$BE$17=2),"",6))</f>
        <v>6</v>
      </c>
      <c r="BK21" s="23">
        <f>IF($M$12="Повторный",$Q$11,IF(OR($BE$17=0,$BE$17=2),"",7))</f>
        <v>7</v>
      </c>
      <c r="BL21" s="23">
        <f>IF($M$12="Повторный",$Q$11,IF(OR($BE$17=0,$BE$17=2),"",8))</f>
        <v>8</v>
      </c>
    </row>
    <row r="22" spans="1:64" s="18" customFormat="1" ht="12.75" customHeight="1" x14ac:dyDescent="0.25">
      <c r="A22" s="75" t="s">
        <v>44</v>
      </c>
      <c r="B22" s="75"/>
      <c r="C22" s="75"/>
      <c r="D22" s="75"/>
      <c r="E22" s="84" t="s">
        <v>45</v>
      </c>
      <c r="F22" s="84"/>
      <c r="G22" s="94"/>
      <c r="H22" s="94"/>
      <c r="I22" s="94"/>
      <c r="J22" s="94"/>
      <c r="K22" s="94"/>
      <c r="L22" s="94"/>
      <c r="M22" s="94"/>
      <c r="N22" s="17"/>
      <c r="O22" s="17"/>
      <c r="P22" s="17"/>
      <c r="Q22" s="23" t="str">
        <f>IF($E$12="повторно",$Q$11,"с 2 сторон")</f>
        <v>без изменений</v>
      </c>
      <c r="R22" s="23" t="str">
        <f>IF($E$12="повторно",$Q$11,"Только сверху")</f>
        <v>без изменений</v>
      </c>
      <c r="S22" s="23" t="str">
        <f>IF($E$12="повторно",$Q$11,"Только снизу")</f>
        <v>без изменений</v>
      </c>
      <c r="T22" s="23" t="str">
        <f>IF($E$12="повторно",$Q$11,"Отсутствует")</f>
        <v>без изменений</v>
      </c>
      <c r="U22" s="23"/>
      <c r="V22" s="23"/>
      <c r="W22" s="23"/>
      <c r="X22" s="23"/>
      <c r="Y22" s="23"/>
      <c r="Z22" s="23"/>
      <c r="AA22" s="23" t="str">
        <f>IF($G$12="Повторный",$Q$11,"с 2 сторон")</f>
        <v>с 2 сторон</v>
      </c>
      <c r="AB22" s="23" t="str">
        <f>IF($G$12="Повторный",$Q$11,"Только сверху")</f>
        <v>Только сверху</v>
      </c>
      <c r="AC22" s="23" t="str">
        <f>IF($G$12="Повторный",$Q$11,"Только снизу")</f>
        <v>Только снизу</v>
      </c>
      <c r="AD22" s="23" t="str">
        <f>IF($G$12="Повторный",$Q$11,"Отсутствует")</f>
        <v>Отсутствует</v>
      </c>
      <c r="AE22" s="23"/>
      <c r="AF22" s="23"/>
      <c r="AG22" s="23"/>
      <c r="AH22" s="23"/>
      <c r="AI22" s="23"/>
      <c r="AJ22" s="23"/>
      <c r="AK22" s="23" t="str">
        <f>IF($I$12="Повторный",$Q$11,"с 2 сторон")</f>
        <v>с 2 сторон</v>
      </c>
      <c r="AL22" s="23" t="str">
        <f>IF($I$12="Повторный",$Q$11,"Только сверху")</f>
        <v>Только сверху</v>
      </c>
      <c r="AM22" s="23" t="str">
        <f>IF($I$12="Повторный",$Q$11,"Только снизу")</f>
        <v>Только снизу</v>
      </c>
      <c r="AN22" s="23" t="str">
        <f>IF($I$12="Повторный",$Q$11,"Отсутствует")</f>
        <v>Отсутствует</v>
      </c>
      <c r="AO22" s="23"/>
      <c r="AP22" s="23"/>
      <c r="AQ22" s="23"/>
      <c r="AR22" s="23"/>
      <c r="AS22" s="23"/>
      <c r="AT22" s="23"/>
      <c r="AU22" s="23" t="str">
        <f>IF($K$12="Повторный",$Q$11,"с 2 сторон")</f>
        <v>с 2 сторон</v>
      </c>
      <c r="AV22" s="23" t="str">
        <f>IF($K$12="Повторный",$Q$11,"Только сверху")</f>
        <v>Только сверху</v>
      </c>
      <c r="AW22" s="23" t="str">
        <f>IF($K$12="Повторный",$Q$11,"Только снизу")</f>
        <v>Только снизу</v>
      </c>
      <c r="AX22" s="23" t="str">
        <f>IF($K$12="Повторный",$Q$11,"Отсутствует")</f>
        <v>Отсутствует</v>
      </c>
      <c r="AY22" s="23"/>
      <c r="AZ22" s="23"/>
      <c r="BA22" s="23"/>
      <c r="BB22" s="23"/>
      <c r="BC22" s="23"/>
      <c r="BD22" s="23"/>
      <c r="BE22" s="23" t="str">
        <f>IF($M$12="Повторный",$Q$11,"с 2 сторон")</f>
        <v>с 2 сторон</v>
      </c>
      <c r="BF22" s="23" t="str">
        <f>IF($M$12="Повторный",$Q$11,"Только сверху")</f>
        <v>Только сверху</v>
      </c>
      <c r="BG22" s="23" t="str">
        <f>IF($M$12="Повторный",$Q$11,"Только снизу")</f>
        <v>Только снизу</v>
      </c>
      <c r="BH22" s="23" t="str">
        <f>IF($M$12="Повторный",$Q$11,"Отсутствует")</f>
        <v>Отсутствует</v>
      </c>
      <c r="BI22" s="23"/>
      <c r="BJ22" s="23"/>
      <c r="BK22" s="23"/>
      <c r="BL22" s="23"/>
    </row>
    <row r="23" spans="1:64" s="18" customFormat="1" ht="12.75" customHeight="1" x14ac:dyDescent="0.25">
      <c r="A23" s="75" t="s">
        <v>46</v>
      </c>
      <c r="B23" s="75"/>
      <c r="C23" s="75"/>
      <c r="D23" s="75"/>
      <c r="E23" s="78" t="s">
        <v>72</v>
      </c>
      <c r="F23" s="78"/>
      <c r="G23" s="94"/>
      <c r="H23" s="94"/>
      <c r="I23" s="94"/>
      <c r="J23" s="94"/>
      <c r="K23" s="94"/>
      <c r="L23" s="94"/>
      <c r="M23" s="94"/>
      <c r="N23" s="17"/>
      <c r="O23" s="17"/>
      <c r="P23" s="17"/>
      <c r="Q23" s="23" t="str">
        <f>IF($E$12="повторно",$Q$11,"с 2 сторон")</f>
        <v>без изменений</v>
      </c>
      <c r="R23" s="23" t="str">
        <f>IF($E$12="повторно",$Q$11,"Только сверху")</f>
        <v>без изменений</v>
      </c>
      <c r="S23" s="23" t="str">
        <f>IF($E$12="повторно",$Q$11,"Только снизу")</f>
        <v>без изменений</v>
      </c>
      <c r="T23" s="23" t="str">
        <f>IF($E$12="повторно",$Q$11,"Отсутствует")</f>
        <v>без изменений</v>
      </c>
      <c r="U23" s="23"/>
      <c r="V23" s="23"/>
      <c r="W23" s="23"/>
      <c r="X23" s="23"/>
      <c r="Y23" s="23"/>
      <c r="Z23" s="23"/>
      <c r="AA23" s="23" t="str">
        <f>IF($G$12="Повторный",$Q$11,"с 2 сторон")</f>
        <v>с 2 сторон</v>
      </c>
      <c r="AB23" s="23" t="str">
        <f>IF($G$12="Повторный",$Q$11,"Только сверху")</f>
        <v>Только сверху</v>
      </c>
      <c r="AC23" s="23" t="str">
        <f>IF($G$12="Повторный",$Q$11,"Только снизу")</f>
        <v>Только снизу</v>
      </c>
      <c r="AD23" s="23" t="str">
        <f>IF($G$12="Повторный",$Q$11,"Отсутствует")</f>
        <v>Отсутствует</v>
      </c>
      <c r="AE23" s="23"/>
      <c r="AF23" s="23"/>
      <c r="AG23" s="23"/>
      <c r="AH23" s="23"/>
      <c r="AI23" s="23"/>
      <c r="AJ23" s="23"/>
      <c r="AK23" s="23" t="str">
        <f>IF($I$12="Повторный",$Q$11,"с 2 сторон")</f>
        <v>с 2 сторон</v>
      </c>
      <c r="AL23" s="23" t="str">
        <f>IF($I$12="Повторный",$Q$11,"Только сверху")</f>
        <v>Только сверху</v>
      </c>
      <c r="AM23" s="23" t="str">
        <f>IF($I$12="Повторный",$Q$11,"Только снизу")</f>
        <v>Только снизу</v>
      </c>
      <c r="AN23" s="23" t="str">
        <f>IF($I$12="Повторный",$Q$11,"Отсутствует")</f>
        <v>Отсутствует</v>
      </c>
      <c r="AO23" s="23"/>
      <c r="AP23" s="23"/>
      <c r="AQ23" s="23"/>
      <c r="AR23" s="23"/>
      <c r="AS23" s="23"/>
      <c r="AT23" s="23"/>
      <c r="AU23" s="23" t="str">
        <f>IF($K$12="Повторный",$Q$11,"с 2 сторон")</f>
        <v>с 2 сторон</v>
      </c>
      <c r="AV23" s="23" t="str">
        <f>IF($K$12="Повторный",$Q$11,"Только сверху")</f>
        <v>Только сверху</v>
      </c>
      <c r="AW23" s="23" t="str">
        <f>IF($K$12="Повторный",$Q$11,"Только снизу")</f>
        <v>Только снизу</v>
      </c>
      <c r="AX23" s="23" t="str">
        <f>IF($K$12="Повторный",$Q$11,"Отсутствует")</f>
        <v>Отсутствует</v>
      </c>
      <c r="AY23" s="23"/>
      <c r="AZ23" s="23"/>
      <c r="BA23" s="23"/>
      <c r="BB23" s="23"/>
      <c r="BC23" s="23"/>
      <c r="BD23" s="23"/>
      <c r="BE23" s="23" t="str">
        <f>IF($M$12="Повторный",$Q$11,"с 2 сторон")</f>
        <v>с 2 сторон</v>
      </c>
      <c r="BF23" s="23" t="str">
        <f>IF($M$12="Повторный",$Q$11,"Только сверху")</f>
        <v>Только сверху</v>
      </c>
      <c r="BG23" s="23" t="str">
        <f>IF($M$12="Повторный",$Q$11,"Только снизу")</f>
        <v>Только снизу</v>
      </c>
      <c r="BH23" s="23" t="str">
        <f>IF($M$12="Повторный",$Q$11,"Отсутствует")</f>
        <v>Отсутствует</v>
      </c>
      <c r="BI23" s="23"/>
      <c r="BJ23" s="23"/>
      <c r="BK23" s="23"/>
      <c r="BL23" s="23"/>
    </row>
    <row r="24" spans="1:64" s="18" customFormat="1" ht="12.75" hidden="1" customHeight="1" x14ac:dyDescent="0.25">
      <c r="A24" s="75"/>
      <c r="B24" s="75"/>
      <c r="C24" s="75"/>
      <c r="D24" s="75"/>
      <c r="E24" s="78"/>
      <c r="F24" s="78"/>
      <c r="G24" s="94"/>
      <c r="H24" s="94"/>
      <c r="I24" s="94"/>
      <c r="J24" s="94"/>
      <c r="K24" s="94"/>
      <c r="L24" s="94"/>
      <c r="M24" s="94"/>
      <c r="N24" s="17"/>
      <c r="O24" s="17"/>
      <c r="P24" s="17"/>
      <c r="Q24" s="23" t="str">
        <f>IF($E$12="Повторный",$Q$11,"Закрыты маской")</f>
        <v>Закрыты маской</v>
      </c>
      <c r="R24" s="23" t="str">
        <f>IF($E$12="Повторный",$Q$11,"Открыты от маски")</f>
        <v>Открыты от маски</v>
      </c>
      <c r="S24" s="23"/>
      <c r="T24" s="23"/>
      <c r="U24" s="23"/>
      <c r="V24" s="23"/>
      <c r="W24" s="23"/>
      <c r="X24" s="23"/>
      <c r="Y24" s="23"/>
      <c r="Z24" s="23"/>
      <c r="AA24" s="23" t="str">
        <f>IF($G$12="Повторный",$Q$11,"Закрыты масокй")</f>
        <v>Закрыты масокй</v>
      </c>
      <c r="AB24" s="23" t="str">
        <f>IF($G$12="Повторный",$Q$11,"Открыты от маски")</f>
        <v>Открыты от маски</v>
      </c>
      <c r="AC24" s="23"/>
      <c r="AD24" s="23"/>
      <c r="AE24" s="23"/>
      <c r="AF24" s="23"/>
      <c r="AG24" s="23"/>
      <c r="AH24" s="23"/>
      <c r="AI24" s="23"/>
      <c r="AJ24" s="23"/>
      <c r="AK24" s="23" t="str">
        <f>IF($I$12="Повторный",$Q$11,"Закрыты масокй")</f>
        <v>Закрыты масокй</v>
      </c>
      <c r="AL24" s="23" t="str">
        <f>IF($I$12="Повторный",$Q$11,"Открыты от маски")</f>
        <v>Открыты от маски</v>
      </c>
      <c r="AM24" s="23"/>
      <c r="AN24" s="23"/>
      <c r="AO24" s="23"/>
      <c r="AP24" s="23"/>
      <c r="AQ24" s="23"/>
      <c r="AR24" s="23"/>
      <c r="AS24" s="23"/>
      <c r="AT24" s="23"/>
      <c r="AU24" s="23" t="str">
        <f>IF($K$12="Повторный",$Q$11,"Закрыты масокй")</f>
        <v>Закрыты масокй</v>
      </c>
      <c r="AV24" s="23" t="str">
        <f>IF($K$12="Повторный",$Q$11,"Открыты от маски")</f>
        <v>Открыты от маски</v>
      </c>
      <c r="AW24" s="23"/>
      <c r="AX24" s="23"/>
      <c r="AY24" s="23"/>
      <c r="AZ24" s="23"/>
      <c r="BA24" s="23"/>
      <c r="BB24" s="23"/>
      <c r="BC24" s="23"/>
      <c r="BD24" s="23"/>
      <c r="BE24" s="23" t="str">
        <f>IF($M$12="Повторный",$Q$11,"Закрыты масокй")</f>
        <v>Закрыты масокй</v>
      </c>
      <c r="BF24" s="23" t="str">
        <f>IF($M$12="Повторный",$Q$11,"Открыты от маски")</f>
        <v>Открыты от маски</v>
      </c>
      <c r="BG24" s="23"/>
      <c r="BH24" s="23"/>
      <c r="BI24" s="23"/>
      <c r="BJ24" s="23"/>
      <c r="BK24" s="23"/>
      <c r="BL24" s="23"/>
    </row>
    <row r="25" spans="1:64" ht="12.75" hidden="1" customHeight="1" x14ac:dyDescent="0.25">
      <c r="A25" s="75"/>
      <c r="B25" s="75"/>
      <c r="C25" s="75"/>
      <c r="D25" s="75"/>
      <c r="E25" s="78"/>
      <c r="F25" s="78"/>
      <c r="G25" s="94"/>
      <c r="H25" s="94"/>
      <c r="I25" s="94"/>
      <c r="J25" s="94"/>
      <c r="K25" s="94"/>
      <c r="L25" s="94"/>
      <c r="M25" s="94"/>
      <c r="N25" s="17"/>
      <c r="O25" s="17"/>
      <c r="P25" s="17"/>
      <c r="Q25" s="23" t="str">
        <f>IF($E$12="Повторный",$Q$11,"1:1")</f>
        <v>1:1</v>
      </c>
      <c r="R25" s="23" t="str">
        <f>IF($E$12="Повторный",$Q$11,"1:0,9842 (100 dbu=2.5 мм)")</f>
        <v>1:0,9842 (100 dbu=2.5 мм)</v>
      </c>
      <c r="S25" s="23"/>
      <c r="T25" s="23"/>
      <c r="U25" s="23"/>
      <c r="V25" s="23"/>
      <c r="W25" s="23"/>
      <c r="X25" s="23"/>
      <c r="Y25" s="23"/>
      <c r="Z25" s="23"/>
      <c r="AA25" s="23" t="str">
        <f>IF($G$12="Повторный",$Q$11,"1:1")</f>
        <v>1:1</v>
      </c>
      <c r="AB25" s="23" t="str">
        <f>IF($G$12="Повторный",$Q$11,"1:0,9842 (100 dbu=2.5 мм)")</f>
        <v>1:0,9842 (100 dbu=2.5 мм)</v>
      </c>
      <c r="AC25" s="23"/>
      <c r="AD25" s="23"/>
      <c r="AE25" s="23"/>
      <c r="AF25" s="23"/>
      <c r="AG25" s="23"/>
      <c r="AH25" s="23"/>
      <c r="AI25" s="23"/>
      <c r="AJ25" s="23"/>
      <c r="AK25" s="23" t="str">
        <f>IF($I$12="Повторный",$Q$11,"1:1")</f>
        <v>1:1</v>
      </c>
      <c r="AL25" s="23" t="str">
        <f>IF($I$12="Повторный",$Q$11,"1:0,9842 (100 dbu=2.5 мм)")</f>
        <v>1:0,9842 (100 dbu=2.5 мм)</v>
      </c>
      <c r="AM25" s="23"/>
      <c r="AN25" s="23"/>
      <c r="AO25" s="23"/>
      <c r="AP25" s="23"/>
      <c r="AQ25" s="23"/>
      <c r="AR25" s="23"/>
      <c r="AS25" s="23"/>
      <c r="AT25" s="23"/>
      <c r="AU25" s="23" t="str">
        <f>IF($K$12="Повторный",$Q$11,"1:1")</f>
        <v>1:1</v>
      </c>
      <c r="AV25" s="23" t="str">
        <f>IF($K$12="Повторный",$Q$11,"1:0,9842 (100 dbu=2.5 мм)")</f>
        <v>1:0,9842 (100 dbu=2.5 мм)</v>
      </c>
      <c r="AW25" s="23"/>
      <c r="AX25" s="23"/>
      <c r="AY25" s="23"/>
      <c r="AZ25" s="23"/>
      <c r="BA25" s="23"/>
      <c r="BB25" s="23"/>
      <c r="BC25" s="23"/>
      <c r="BD25" s="23"/>
      <c r="BE25" s="23" t="str">
        <f>IF($M$12="Повторный",$Q$11,"1:1")</f>
        <v>1:1</v>
      </c>
      <c r="BF25" s="23" t="str">
        <f>IF($M$12="Повторный",$Q$11,"1:0,9842 (100 dbu=2.5 мм)")</f>
        <v>1:0,9842 (100 dbu=2.5 мм)</v>
      </c>
      <c r="BG25" s="23"/>
      <c r="BH25" s="23"/>
      <c r="BI25" s="23"/>
      <c r="BJ25" s="23"/>
      <c r="BK25" s="23"/>
      <c r="BL25" s="23"/>
    </row>
    <row r="26" spans="1:64" ht="12.75" customHeight="1" x14ac:dyDescent="0.25">
      <c r="A26" s="75" t="s">
        <v>47</v>
      </c>
      <c r="B26" s="75"/>
      <c r="C26" s="75"/>
      <c r="D26" s="75"/>
      <c r="E26" s="79" t="s">
        <v>73</v>
      </c>
      <c r="F26" s="79"/>
      <c r="G26" s="94"/>
      <c r="H26" s="94"/>
      <c r="I26" s="94"/>
      <c r="J26" s="94"/>
      <c r="K26" s="94"/>
      <c r="L26" s="94"/>
      <c r="M26" s="94"/>
      <c r="N26" s="17"/>
      <c r="O26" s="17"/>
      <c r="P26" s="17"/>
      <c r="Q26" s="23" t="str">
        <f>IF($E$12="повторно",$Q$11,"Без мех. Обработки")</f>
        <v>без изменений</v>
      </c>
      <c r="R26" s="23" t="str">
        <f>IF($E$12="повторно",$Q$11,IF(OR($E$19=0.5,Q17=1,Q17=3),"","Гильотина"))</f>
        <v>без изменений</v>
      </c>
      <c r="S26" s="23" t="str">
        <f>IF($E$12="повторно",$Q$11,"Фрезерование")</f>
        <v>без изменений</v>
      </c>
      <c r="T26" s="23" t="str">
        <f>IF($E$12="повторно",$Q$11,IF(OR($E$19=0.8,$E$19=3),"","Скрайбирование"))</f>
        <v>без изменений</v>
      </c>
      <c r="U26" s="23" t="str">
        <f>IF($E$12="повторно",$Q$11,"Фрезерование+скрайб")</f>
        <v>без изменений</v>
      </c>
      <c r="V26" s="23" t="str">
        <f>IF($E$12="повторно",$Q$11,"На усмотрение производителя")</f>
        <v>без изменений</v>
      </c>
      <c r="W26" s="23"/>
      <c r="X26" s="23"/>
      <c r="Y26" s="23"/>
      <c r="Z26" s="23"/>
      <c r="AA26" s="23" t="str">
        <f>IF($G$12="Повторный",$Q$11,"Без мех. Обработки")</f>
        <v>Без мех. Обработки</v>
      </c>
      <c r="AB26" s="19" t="str">
        <f>IF($G$12="Повторный",$Q$11,IF(OR($G$19=0.5,AA17=1,AA17=3),"","Гильотина"))</f>
        <v>Гильотина</v>
      </c>
      <c r="AC26" s="19" t="str">
        <f>IF($G$12="Повторный",$Q$11,"Фрезерование")</f>
        <v>Фрезерование</v>
      </c>
      <c r="AD26" s="23" t="str">
        <f>IF($G$12="Повторный",$Q$11,IF(OR($G$19=0.8,$G$19=3),"","Скрайбирование"))</f>
        <v>Скрайбирование</v>
      </c>
      <c r="AE26" s="23"/>
      <c r="AF26" s="23"/>
      <c r="AG26" s="23"/>
      <c r="AH26" s="23"/>
      <c r="AI26" s="23"/>
      <c r="AJ26" s="23"/>
      <c r="AK26" s="23" t="str">
        <f>IF($I$12="Повторный",$Q$11,"Без мех. Обработки")</f>
        <v>Без мех. Обработки</v>
      </c>
      <c r="AL26" s="19" t="str">
        <f>IF($I$12="Повторный",$Q$11,IF(OR($E$19=0.5,AK17=1,AK17=3),"","Гильотина"))</f>
        <v>Гильотина</v>
      </c>
      <c r="AM26" s="19" t="str">
        <f>IF($I$12="Повторный",$Q$11,"Фрезерование")</f>
        <v>Фрезерование</v>
      </c>
      <c r="AN26" s="23" t="str">
        <f>IF($I$12="Повторный",$Q$11,IF(OR($I$19=0.8,$I$19=3),"","Скрайбирование"))</f>
        <v>Скрайбирование</v>
      </c>
      <c r="AO26" s="23"/>
      <c r="AP26" s="23"/>
      <c r="AQ26" s="23"/>
      <c r="AR26" s="23"/>
      <c r="AS26" s="23"/>
      <c r="AT26" s="23"/>
      <c r="AU26" s="23" t="str">
        <f>IF($K$12="Повторный",$Q$11,"Без мех. Обработки")</f>
        <v>Без мех. Обработки</v>
      </c>
      <c r="AV26" s="19" t="str">
        <f>IF($K$12="Повторный",$Q$11,IF(OR($K$19=0.5,AU17=1,AU17=3),"","Гильотина"))</f>
        <v>Гильотина</v>
      </c>
      <c r="AW26" s="19" t="str">
        <f>IF($K$12="Повторный",$Q$11,"Фрезерование")</f>
        <v>Фрезерование</v>
      </c>
      <c r="AX26" s="23" t="str">
        <f>IF($K$12="Повторный",$Q$11,IF(OR($K$19=0.8,$K$19=3),"","Скрайбирование"))</f>
        <v>Скрайбирование</v>
      </c>
      <c r="AY26" s="23"/>
      <c r="AZ26" s="23"/>
      <c r="BA26" s="23"/>
      <c r="BB26" s="23"/>
      <c r="BC26" s="23"/>
      <c r="BD26" s="23"/>
      <c r="BE26" s="23" t="str">
        <f>IF($M$12="Повторный",$Q$11,"Без мех. Обработки")</f>
        <v>Без мех. Обработки</v>
      </c>
      <c r="BF26" s="19" t="str">
        <f>IF($M$12="Повторный",$Q$11,IF(OR($M$19=0.5,BE17=1,BE17=3),"","Гильотина"))</f>
        <v>Гильотина</v>
      </c>
      <c r="BG26" s="19" t="str">
        <f>IF($M$12="Повторный",$Q$11,"Фрезерование")</f>
        <v>Фрезерование</v>
      </c>
      <c r="BH26" s="23" t="str">
        <f>IF($M$12="Повторный",$Q$11,IF(OR($M$19=0.8,$M$19=3),"","Скрайбирование"))</f>
        <v>Скрайбирование</v>
      </c>
      <c r="BI26" s="23"/>
      <c r="BJ26" s="23"/>
      <c r="BK26" s="23"/>
      <c r="BL26" s="23"/>
    </row>
    <row r="27" spans="1:64" ht="12.75" customHeight="1" x14ac:dyDescent="0.25">
      <c r="A27" s="75" t="s">
        <v>48</v>
      </c>
      <c r="B27" s="75"/>
      <c r="C27" s="75"/>
      <c r="D27" s="75"/>
      <c r="E27" s="76" t="s">
        <v>49</v>
      </c>
      <c r="F27" s="76"/>
      <c r="G27" s="94"/>
      <c r="H27" s="94"/>
      <c r="I27" s="94"/>
      <c r="J27" s="94"/>
      <c r="K27" s="94"/>
      <c r="L27" s="94"/>
      <c r="M27" s="94"/>
      <c r="N27" s="23"/>
      <c r="O27" s="17"/>
      <c r="P27" s="17"/>
      <c r="Q27" s="23" t="str">
        <f>IF($E$12="повторно",$Q$11,"да")</f>
        <v>без изменений</v>
      </c>
      <c r="R27" s="19" t="str">
        <f>IF($E$12="повторно",$Q$11,"нет")</f>
        <v>без изменений</v>
      </c>
      <c r="S27" s="19"/>
      <c r="T27" s="23"/>
      <c r="U27" s="23"/>
      <c r="V27" s="23"/>
      <c r="W27" s="23"/>
      <c r="X27" s="23"/>
      <c r="Y27" s="23"/>
      <c r="Z27" s="23"/>
      <c r="AA27" s="23" t="str">
        <f>IF($G$12="Повторный",$Q$11,"да")</f>
        <v>да</v>
      </c>
      <c r="AB27" s="19" t="str">
        <f>IF($G$12="Повторный",$Q$11,"нет")</f>
        <v>нет</v>
      </c>
      <c r="AC27" s="19"/>
      <c r="AD27" s="23"/>
      <c r="AE27" s="23"/>
      <c r="AF27" s="23"/>
      <c r="AG27" s="23"/>
      <c r="AH27" s="23"/>
      <c r="AI27" s="23"/>
      <c r="AJ27" s="23"/>
      <c r="AK27" s="23" t="str">
        <f>IF($I$12="Повторный",$Q$11,"да")</f>
        <v>да</v>
      </c>
      <c r="AL27" s="19" t="str">
        <f>IF($I$12="Повторный",$Q$11,"нет")</f>
        <v>нет</v>
      </c>
      <c r="AM27" s="19"/>
      <c r="AN27" s="23"/>
      <c r="AO27" s="23"/>
      <c r="AP27" s="23"/>
      <c r="AQ27" s="23"/>
      <c r="AR27" s="23"/>
      <c r="AS27" s="23"/>
      <c r="AT27" s="23"/>
      <c r="AU27" s="23" t="str">
        <f>IF($K$12="Повторный",$Q$11,"да")</f>
        <v>да</v>
      </c>
      <c r="AV27" s="19" t="str">
        <f>IF($K$12="Повторный",$Q$11,"нет")</f>
        <v>нет</v>
      </c>
      <c r="AW27" s="19"/>
      <c r="AX27" s="23"/>
      <c r="AY27" s="23"/>
      <c r="AZ27" s="23"/>
      <c r="BA27" s="23"/>
      <c r="BB27" s="23"/>
      <c r="BC27" s="23"/>
      <c r="BD27" s="23"/>
      <c r="BE27" s="23" t="str">
        <f>IF($M$12="Повторный",$Q$11,"да")</f>
        <v>да</v>
      </c>
      <c r="BF27" s="19" t="str">
        <f>IF($M$12="Повторный",$Q$11,"нет")</f>
        <v>нет</v>
      </c>
      <c r="BG27" s="19"/>
      <c r="BH27" s="23"/>
      <c r="BI27" s="23"/>
      <c r="BJ27" s="23"/>
      <c r="BK27" s="23"/>
      <c r="BL27" s="23"/>
    </row>
    <row r="28" spans="1:64" ht="12.75" customHeight="1" x14ac:dyDescent="0.25">
      <c r="A28" s="75" t="s">
        <v>50</v>
      </c>
      <c r="B28" s="75"/>
      <c r="C28" s="75"/>
      <c r="D28" s="75"/>
      <c r="E28" s="77" t="s">
        <v>51</v>
      </c>
      <c r="F28" s="77"/>
      <c r="G28" s="94"/>
      <c r="H28" s="94"/>
      <c r="I28" s="94"/>
      <c r="J28" s="94"/>
      <c r="K28" s="94"/>
      <c r="L28" s="94"/>
      <c r="M28" s="94"/>
      <c r="N28" s="23"/>
      <c r="O28" s="17"/>
      <c r="P28" s="17"/>
      <c r="Q28" s="20" t="s">
        <v>51</v>
      </c>
      <c r="R28" s="19" t="s">
        <v>52</v>
      </c>
      <c r="S28" s="19"/>
      <c r="T28" s="23"/>
      <c r="U28" s="23"/>
      <c r="V28" s="23"/>
      <c r="W28" s="23"/>
      <c r="X28" s="23"/>
      <c r="Y28" s="23"/>
      <c r="Z28" s="23"/>
      <c r="AA28" s="20" t="s">
        <v>51</v>
      </c>
      <c r="AB28" s="19" t="s">
        <v>52</v>
      </c>
      <c r="AC28" s="19"/>
      <c r="AD28" s="23"/>
      <c r="AE28" s="23"/>
      <c r="AF28" s="23"/>
      <c r="AG28" s="23"/>
      <c r="AH28" s="23"/>
      <c r="AI28" s="23"/>
      <c r="AJ28" s="23"/>
      <c r="AK28" s="20" t="s">
        <v>51</v>
      </c>
      <c r="AL28" s="19" t="s">
        <v>52</v>
      </c>
      <c r="AM28" s="19"/>
      <c r="AN28" s="23"/>
      <c r="AO28" s="23"/>
      <c r="AP28" s="23"/>
      <c r="AQ28" s="23"/>
      <c r="AR28" s="23"/>
      <c r="AS28" s="23"/>
      <c r="AT28" s="23"/>
      <c r="AU28" s="20" t="s">
        <v>51</v>
      </c>
      <c r="AV28" s="19" t="s">
        <v>52</v>
      </c>
      <c r="AW28" s="19"/>
      <c r="AX28" s="23"/>
      <c r="AY28" s="23"/>
      <c r="AZ28" s="23"/>
      <c r="BA28" s="23"/>
      <c r="BB28" s="23"/>
      <c r="BC28" s="23"/>
      <c r="BD28" s="23"/>
      <c r="BE28" s="20" t="s">
        <v>51</v>
      </c>
      <c r="BF28" s="19" t="s">
        <v>52</v>
      </c>
      <c r="BG28" s="19"/>
      <c r="BH28" s="23"/>
      <c r="BI28" s="23"/>
      <c r="BJ28" s="23"/>
      <c r="BK28" s="23"/>
      <c r="BL28" s="23"/>
    </row>
    <row r="29" spans="1:64" ht="12.75" customHeight="1" x14ac:dyDescent="0.35">
      <c r="A29" s="80" t="s">
        <v>53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25"/>
      <c r="O29" s="25"/>
      <c r="P29" s="17"/>
      <c r="Q29" s="20"/>
      <c r="R29" s="19"/>
      <c r="S29" s="19"/>
      <c r="T29" s="23"/>
      <c r="U29" s="23"/>
      <c r="V29" s="23"/>
      <c r="W29" s="23"/>
      <c r="X29" s="23"/>
      <c r="Y29" s="23"/>
      <c r="Z29" s="23"/>
      <c r="AA29" s="20"/>
      <c r="AB29" s="19"/>
      <c r="AC29" s="19"/>
      <c r="AD29" s="23"/>
      <c r="AE29" s="23"/>
      <c r="AF29" s="23"/>
      <c r="AG29" s="23"/>
      <c r="AH29" s="23"/>
      <c r="AI29" s="23"/>
      <c r="AJ29" s="23"/>
      <c r="AK29" s="20"/>
      <c r="AL29" s="19"/>
      <c r="AM29" s="19"/>
      <c r="AN29" s="23"/>
      <c r="AO29" s="23"/>
      <c r="AP29" s="23"/>
      <c r="AQ29" s="23"/>
      <c r="AR29" s="23"/>
      <c r="AS29" s="23"/>
      <c r="AT29" s="23"/>
      <c r="AU29" s="20"/>
      <c r="AV29" s="19"/>
      <c r="AW29" s="19"/>
      <c r="AX29" s="23"/>
      <c r="AY29" s="23"/>
      <c r="AZ29" s="23"/>
      <c r="BA29" s="23"/>
      <c r="BB29" s="23"/>
      <c r="BC29" s="23"/>
      <c r="BD29" s="23"/>
      <c r="BE29" s="20"/>
      <c r="BF29" s="19"/>
      <c r="BG29" s="19"/>
      <c r="BH29" s="23"/>
      <c r="BI29" s="23"/>
      <c r="BJ29" s="23"/>
      <c r="BK29" s="23"/>
      <c r="BL29" s="23"/>
    </row>
    <row r="30" spans="1:64" ht="12.75" customHeight="1" x14ac:dyDescent="0.4">
      <c r="A30" s="71" t="s">
        <v>79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21"/>
      <c r="O30" s="21"/>
      <c r="P30" s="17"/>
      <c r="Q30" s="20"/>
      <c r="R30" s="19"/>
      <c r="S30" s="19"/>
      <c r="T30" s="23"/>
      <c r="U30" s="23"/>
      <c r="V30" s="23"/>
      <c r="W30" s="23"/>
      <c r="X30" s="23"/>
      <c r="Y30" s="23"/>
      <c r="Z30" s="23"/>
      <c r="AA30" s="20"/>
      <c r="AB30" s="19"/>
      <c r="AC30" s="19"/>
      <c r="AD30" s="23"/>
      <c r="AE30" s="23"/>
      <c r="AF30" s="23"/>
      <c r="AG30" s="23"/>
      <c r="AH30" s="23"/>
      <c r="AI30" s="23"/>
      <c r="AJ30" s="23"/>
      <c r="AK30" s="20"/>
      <c r="AL30" s="19"/>
      <c r="AM30" s="19"/>
      <c r="AN30" s="23"/>
      <c r="AO30" s="23"/>
      <c r="AP30" s="23"/>
      <c r="AQ30" s="23"/>
      <c r="AR30" s="23"/>
      <c r="AS30" s="23"/>
      <c r="AT30" s="23"/>
      <c r="AU30" s="20"/>
      <c r="AV30" s="19"/>
      <c r="AW30" s="19"/>
      <c r="AX30" s="23"/>
      <c r="AY30" s="23"/>
      <c r="AZ30" s="23"/>
      <c r="BA30" s="23"/>
      <c r="BB30" s="23"/>
      <c r="BC30" s="23"/>
      <c r="BD30" s="23"/>
      <c r="BE30" s="20"/>
      <c r="BF30" s="19"/>
      <c r="BG30" s="19"/>
      <c r="BH30" s="23"/>
      <c r="BI30" s="23"/>
      <c r="BJ30" s="23"/>
      <c r="BK30" s="23"/>
      <c r="BL30" s="23"/>
    </row>
    <row r="31" spans="1:64" ht="12.75" customHeight="1" x14ac:dyDescent="0.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21"/>
      <c r="O31" s="21"/>
      <c r="P31" s="17"/>
      <c r="Q31" s="20"/>
      <c r="R31" s="19"/>
      <c r="S31" s="19"/>
      <c r="T31" s="23"/>
      <c r="U31" s="23"/>
      <c r="V31" s="23"/>
      <c r="W31" s="23"/>
      <c r="X31" s="23"/>
      <c r="Y31" s="23"/>
      <c r="Z31" s="23"/>
      <c r="AA31" s="20"/>
      <c r="AB31" s="19"/>
      <c r="AC31" s="19"/>
      <c r="AD31" s="23"/>
      <c r="AE31" s="23"/>
      <c r="AF31" s="23"/>
      <c r="AG31" s="23"/>
      <c r="AH31" s="23"/>
      <c r="AI31" s="23"/>
      <c r="AJ31" s="23"/>
      <c r="AK31" s="20"/>
      <c r="AL31" s="19"/>
      <c r="AM31" s="19"/>
      <c r="AN31" s="23"/>
      <c r="AO31" s="23"/>
      <c r="AP31" s="23"/>
      <c r="AQ31" s="23"/>
      <c r="AR31" s="23"/>
      <c r="AS31" s="23"/>
      <c r="AT31" s="23"/>
      <c r="AU31" s="20"/>
      <c r="AV31" s="19"/>
      <c r="AW31" s="19"/>
      <c r="AX31" s="23"/>
      <c r="AY31" s="23"/>
      <c r="AZ31" s="23"/>
      <c r="BA31" s="23"/>
      <c r="BB31" s="23"/>
      <c r="BC31" s="23"/>
      <c r="BD31" s="23"/>
      <c r="BE31" s="20"/>
      <c r="BF31" s="19"/>
      <c r="BG31" s="19"/>
      <c r="BH31" s="23"/>
      <c r="BI31" s="23"/>
      <c r="BJ31" s="23"/>
      <c r="BK31" s="23"/>
      <c r="BL31" s="23"/>
    </row>
    <row r="32" spans="1:64" ht="12.75" customHeight="1" x14ac:dyDescent="0.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21"/>
      <c r="O32" s="21"/>
      <c r="P32" s="17"/>
      <c r="Q32" s="20"/>
      <c r="R32" s="19"/>
      <c r="S32" s="19"/>
      <c r="T32" s="23"/>
      <c r="U32" s="23"/>
      <c r="V32" s="23"/>
      <c r="W32" s="23"/>
      <c r="X32" s="23"/>
      <c r="Y32" s="23"/>
      <c r="Z32" s="23"/>
      <c r="AA32" s="20"/>
      <c r="AB32" s="19"/>
      <c r="AC32" s="19"/>
      <c r="AD32" s="23"/>
      <c r="AE32" s="23"/>
      <c r="AF32" s="23"/>
      <c r="AG32" s="23"/>
      <c r="AH32" s="23"/>
      <c r="AI32" s="23"/>
      <c r="AJ32" s="23"/>
      <c r="AK32" s="20"/>
      <c r="AL32" s="19"/>
      <c r="AM32" s="19"/>
      <c r="AN32" s="23"/>
      <c r="AO32" s="23"/>
      <c r="AP32" s="23"/>
      <c r="AQ32" s="23"/>
      <c r="AR32" s="23"/>
      <c r="AS32" s="23"/>
      <c r="AT32" s="23"/>
      <c r="AU32" s="20"/>
      <c r="AV32" s="19"/>
      <c r="AW32" s="19"/>
      <c r="AX32" s="23"/>
      <c r="AY32" s="23"/>
      <c r="AZ32" s="23"/>
      <c r="BA32" s="23"/>
      <c r="BB32" s="23"/>
      <c r="BC32" s="23"/>
      <c r="BD32" s="23"/>
      <c r="BE32" s="20"/>
      <c r="BF32" s="19"/>
      <c r="BG32" s="19"/>
      <c r="BH32" s="23"/>
      <c r="BI32" s="23"/>
      <c r="BJ32" s="23"/>
      <c r="BK32" s="23"/>
      <c r="BL32" s="23"/>
    </row>
    <row r="33" spans="1:64" ht="12.75" customHeight="1" x14ac:dyDescent="0.4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21"/>
      <c r="O33" s="21"/>
      <c r="P33" s="17"/>
      <c r="Q33" s="20"/>
      <c r="R33" s="19"/>
      <c r="S33" s="19"/>
      <c r="T33" s="23"/>
      <c r="U33" s="23"/>
      <c r="V33" s="23"/>
      <c r="W33" s="23"/>
      <c r="X33" s="23"/>
      <c r="Y33" s="23"/>
      <c r="Z33" s="23"/>
      <c r="AA33" s="20"/>
      <c r="AB33" s="19"/>
      <c r="AC33" s="19"/>
      <c r="AD33" s="23"/>
      <c r="AE33" s="23"/>
      <c r="AF33" s="23"/>
      <c r="AG33" s="23"/>
      <c r="AH33" s="23"/>
      <c r="AI33" s="23"/>
      <c r="AJ33" s="23"/>
      <c r="AK33" s="20"/>
      <c r="AL33" s="19"/>
      <c r="AM33" s="19"/>
      <c r="AN33" s="23"/>
      <c r="AO33" s="23"/>
      <c r="AP33" s="23"/>
      <c r="AQ33" s="23"/>
      <c r="AR33" s="23"/>
      <c r="AS33" s="23"/>
      <c r="AT33" s="23"/>
      <c r="AU33" s="20"/>
      <c r="AV33" s="19"/>
      <c r="AW33" s="19"/>
      <c r="AX33" s="23"/>
      <c r="AY33" s="23"/>
      <c r="AZ33" s="23"/>
      <c r="BA33" s="23"/>
      <c r="BB33" s="23"/>
      <c r="BC33" s="23"/>
      <c r="BD33" s="23"/>
      <c r="BE33" s="20"/>
      <c r="BF33" s="19"/>
      <c r="BG33" s="19"/>
      <c r="BH33" s="23"/>
      <c r="BI33" s="23"/>
      <c r="BJ33" s="23"/>
      <c r="BK33" s="23"/>
      <c r="BL33" s="23"/>
    </row>
    <row r="34" spans="1:64" ht="12.75" customHeight="1" x14ac:dyDescent="0.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21"/>
      <c r="O34" s="21"/>
      <c r="P34" s="17"/>
      <c r="Q34" s="20"/>
      <c r="R34" s="19"/>
      <c r="S34" s="19"/>
      <c r="T34" s="23"/>
      <c r="U34" s="23"/>
      <c r="V34" s="23"/>
      <c r="W34" s="23"/>
      <c r="X34" s="23"/>
      <c r="Y34" s="23"/>
      <c r="Z34" s="23"/>
      <c r="AA34" s="20"/>
      <c r="AB34" s="19"/>
      <c r="AC34" s="19"/>
      <c r="AD34" s="23"/>
      <c r="AE34" s="23"/>
      <c r="AF34" s="23"/>
      <c r="AG34" s="23"/>
      <c r="AH34" s="23"/>
      <c r="AI34" s="23"/>
      <c r="AJ34" s="23"/>
      <c r="AK34" s="20"/>
      <c r="AL34" s="19"/>
      <c r="AM34" s="19"/>
      <c r="AN34" s="23"/>
      <c r="AO34" s="23"/>
      <c r="AP34" s="23"/>
      <c r="AQ34" s="23"/>
      <c r="AR34" s="23"/>
      <c r="AS34" s="23"/>
      <c r="AT34" s="23"/>
      <c r="AU34" s="20"/>
      <c r="AV34" s="19"/>
      <c r="AW34" s="19"/>
      <c r="AX34" s="23"/>
      <c r="AY34" s="23"/>
      <c r="AZ34" s="23"/>
      <c r="BA34" s="23"/>
      <c r="BB34" s="23"/>
      <c r="BC34" s="23"/>
      <c r="BD34" s="23"/>
      <c r="BE34" s="20"/>
      <c r="BF34" s="19"/>
      <c r="BG34" s="19"/>
      <c r="BH34" s="23"/>
      <c r="BI34" s="23"/>
      <c r="BJ34" s="23"/>
      <c r="BK34" s="23"/>
      <c r="BL34" s="23"/>
    </row>
    <row r="35" spans="1:64" s="5" customFormat="1" ht="12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3"/>
      <c r="O35" s="23"/>
      <c r="P35" s="25"/>
      <c r="Q35" s="5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</row>
    <row r="36" spans="1:64" s="5" customFormat="1" ht="12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3"/>
      <c r="Q36" s="5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spans="1:64" s="5" customFormat="1" ht="12" customHeight="1" x14ac:dyDescent="0.25">
      <c r="A37" s="66"/>
      <c r="B37" s="66"/>
      <c r="C37" s="66"/>
      <c r="D37" s="28"/>
      <c r="E37" s="73"/>
      <c r="F37" s="73"/>
      <c r="G37" s="73"/>
      <c r="H37" s="73"/>
      <c r="I37" s="74"/>
      <c r="J37" s="74"/>
      <c r="K37" s="74"/>
      <c r="L37" s="74"/>
      <c r="M37" s="74"/>
      <c r="N37" s="27"/>
      <c r="O37" s="27"/>
      <c r="P37" s="23"/>
      <c r="Q37" s="53"/>
      <c r="R37" s="22" t="s">
        <v>54</v>
      </c>
      <c r="S37" s="29"/>
      <c r="T37" s="29"/>
      <c r="U37" s="30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spans="1:64" s="5" customFormat="1" ht="12" customHeight="1" x14ac:dyDescent="0.25">
      <c r="A38" s="33"/>
      <c r="B38" s="34"/>
      <c r="C38" s="34"/>
      <c r="D38" s="35"/>
      <c r="E38" s="36"/>
      <c r="F38" s="37"/>
      <c r="G38" s="38"/>
      <c r="H38" s="39"/>
      <c r="I38" s="31"/>
      <c r="J38" s="31"/>
      <c r="K38" s="31"/>
      <c r="L38" s="31"/>
      <c r="M38" s="31"/>
      <c r="N38" s="27"/>
      <c r="O38" s="27"/>
      <c r="P38" s="23"/>
      <c r="Q38" s="23"/>
      <c r="R38" s="22" t="s">
        <v>56</v>
      </c>
      <c r="S38" s="29"/>
      <c r="T38" s="29"/>
      <c r="U38" s="30"/>
      <c r="V38" s="23"/>
      <c r="W38" s="23"/>
      <c r="X38" s="23"/>
      <c r="Y38" s="23"/>
      <c r="Z38" s="23"/>
      <c r="AA38" s="23"/>
      <c r="AB38" s="23"/>
      <c r="AC38" s="23"/>
      <c r="AD38" s="23"/>
      <c r="AE38" s="32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</row>
    <row r="39" spans="1:64" s="5" customFormat="1" ht="12.75" customHeight="1" x14ac:dyDescent="0.35">
      <c r="A39" s="33"/>
      <c r="B39" s="34"/>
      <c r="C39" s="34"/>
      <c r="D39" s="35"/>
      <c r="E39" s="36"/>
      <c r="F39" s="37"/>
      <c r="G39" s="38"/>
      <c r="H39" s="39"/>
      <c r="I39" s="31"/>
      <c r="J39" s="31"/>
      <c r="K39" s="31"/>
      <c r="L39" s="31"/>
      <c r="M39" s="31"/>
      <c r="N39" s="27"/>
      <c r="O39" s="27"/>
      <c r="P39" s="23"/>
      <c r="Q39" s="23"/>
      <c r="R39" s="22" t="s">
        <v>57</v>
      </c>
      <c r="S39" s="29"/>
      <c r="T39" s="29"/>
      <c r="U39" s="30"/>
      <c r="V39" s="23"/>
      <c r="W39" s="23"/>
      <c r="X39" s="23"/>
      <c r="Y39" s="23"/>
      <c r="Z39" s="23"/>
      <c r="AA39" s="40" t="s">
        <v>58</v>
      </c>
      <c r="AB39" s="41" t="s">
        <v>59</v>
      </c>
      <c r="AC39" s="42" t="s">
        <v>60</v>
      </c>
      <c r="AD39" s="41" t="s">
        <v>61</v>
      </c>
      <c r="AE39" s="43" t="s">
        <v>62</v>
      </c>
      <c r="AF39" s="42" t="s">
        <v>63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</row>
    <row r="40" spans="1:64" s="5" customFormat="1" ht="12.75" customHeight="1" x14ac:dyDescent="0.25">
      <c r="A40" s="48"/>
      <c r="B40" s="49"/>
      <c r="C40" s="49"/>
      <c r="D40" s="35"/>
      <c r="E40" s="36"/>
      <c r="F40" s="37"/>
      <c r="G40" s="38"/>
      <c r="H40" s="38"/>
      <c r="I40" s="31"/>
      <c r="J40" s="31"/>
      <c r="K40" s="31"/>
      <c r="L40" s="31"/>
      <c r="M40" s="31"/>
      <c r="N40" s="27"/>
      <c r="O40" s="27"/>
      <c r="P40" s="23"/>
      <c r="Q40" s="23"/>
      <c r="R40" s="22" t="s">
        <v>55</v>
      </c>
      <c r="S40" s="29"/>
      <c r="T40" s="29"/>
      <c r="U40" s="30"/>
      <c r="V40" s="23"/>
      <c r="W40" s="23"/>
      <c r="X40" s="23"/>
      <c r="Y40" s="23"/>
      <c r="Z40" s="23"/>
      <c r="AA40" s="44"/>
      <c r="AB40" s="44"/>
      <c r="AC40" s="23"/>
      <c r="AD40" s="45"/>
      <c r="AE40" s="32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spans="1:64" s="5" customFormat="1" ht="12.75" customHeight="1" x14ac:dyDescent="0.35">
      <c r="A41" s="33"/>
      <c r="B41" s="34"/>
      <c r="C41" s="34"/>
      <c r="D41" s="35"/>
      <c r="E41" s="36"/>
      <c r="F41" s="37"/>
      <c r="G41" s="38"/>
      <c r="H41" s="39"/>
      <c r="I41" s="31"/>
      <c r="J41" s="31"/>
      <c r="K41" s="31"/>
      <c r="L41" s="31"/>
      <c r="M41" s="31"/>
      <c r="N41" s="23"/>
      <c r="O41" s="23"/>
      <c r="P41" s="23"/>
      <c r="Q41" s="23"/>
      <c r="R41" s="22" t="str">
        <f>IF(OR($E$22=$Q$22,$E$22=$R$22),"Маска верх",IF($E$22=$S$22,"Маска низ",IF(AND($R40&lt;&gt;"Шелкография верх",(OR($E$23=$Q$23,$E$23=$R$23))),"Шелкография верх",IF($E$23=$S$23,"Шелкография  низ",IF(OR($R40="Маска верх",$R40="Маска низ",$R40="Шелкография верх",$R40="Нижний"),"Контур платы",IF($R40="Контур платы","Сверлениеl",""))))))</f>
        <v>Контур платы</v>
      </c>
      <c r="S41" s="29"/>
      <c r="T41" s="29"/>
      <c r="U41" s="30"/>
      <c r="V41" s="23"/>
      <c r="W41" s="23"/>
      <c r="X41" s="23"/>
      <c r="Y41" s="23"/>
      <c r="Z41" s="23"/>
      <c r="AA41" s="46"/>
      <c r="AB41" s="44"/>
      <c r="AC41" s="23"/>
      <c r="AD41" s="47"/>
      <c r="AE41" s="4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</row>
    <row r="42" spans="1:64" s="5" customFormat="1" ht="12.75" customHeight="1" x14ac:dyDescent="0.35">
      <c r="A42" s="48"/>
      <c r="B42" s="49"/>
      <c r="C42" s="49"/>
      <c r="D42" s="35"/>
      <c r="E42" s="36"/>
      <c r="F42" s="37"/>
      <c r="G42" s="38"/>
      <c r="H42" s="38"/>
      <c r="I42" s="31"/>
      <c r="J42" s="31"/>
      <c r="K42" s="31"/>
      <c r="L42" s="31"/>
      <c r="M42" s="31"/>
      <c r="N42" s="51"/>
      <c r="O42" s="51"/>
      <c r="P42" s="50"/>
      <c r="Q42" s="23"/>
      <c r="R42" s="22" t="str">
        <f>IF(AND($E$22=$Q$22,$R41&lt;&gt;"Маска низ"),"Маска низ",IF(AND($R41&lt;&gt;"Шелкография верх",(OR($E$23=$Q$23,$E$23=$R$23))),"Шелкография верх",IF(AND($R41&lt;&gt;"Шелкография  низ",OR($E$23=$S$23,$E$23=$Q$23)),"Шелкография  низ",IF(OR($R41="Маска верх",$R41="Маска низ",$R41="Шелкография верх",$R41="Шелкография  низ"),"Контур платы",IF($R41="Контур платы","Сверление","")))))</f>
        <v>Сверление</v>
      </c>
      <c r="S42" s="29"/>
      <c r="T42" s="29"/>
      <c r="U42" s="30"/>
      <c r="V42" s="23"/>
      <c r="W42" s="23"/>
      <c r="X42" s="23"/>
      <c r="Y42" s="23"/>
      <c r="Z42" s="23"/>
      <c r="AA42" s="46"/>
      <c r="AB42" s="44"/>
      <c r="AC42" s="23"/>
      <c r="AD42" s="47"/>
      <c r="AE42" s="32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</row>
    <row r="43" spans="1:64" ht="12.75" customHeight="1" x14ac:dyDescent="0.35">
      <c r="A43" s="33"/>
      <c r="B43" s="34"/>
      <c r="C43" s="34"/>
      <c r="D43" s="35"/>
      <c r="E43" s="36"/>
      <c r="F43" s="37"/>
      <c r="G43" s="38"/>
      <c r="H43" s="39"/>
      <c r="I43" s="31"/>
      <c r="J43" s="31"/>
      <c r="K43" s="31"/>
      <c r="L43" s="31"/>
      <c r="M43" s="31"/>
      <c r="N43" s="51"/>
      <c r="O43" s="51"/>
      <c r="P43" s="50"/>
      <c r="Q43" s="23"/>
      <c r="R43" s="22" t="str">
        <f>IF(AND($R41&lt;&gt;"Шелкография  низ",$R41&lt;&gt;"Шелкография верх",$R42&lt;&gt;"Шелкография верх",OR($E$23=$Q$23,$E$23=$R$23)),"Шелкография верх",IF(AND($R41&lt;&gt;"Шелкография  низ",$R42&lt;&gt;"Шелкография  низ",OR($E$23=$S$23,$E$23=$Q$23)),"Шелкография  низ",IF(OR($R42="Маска низ",$R42="Шелкография верх",$R42="Шелкография  низ"),"Контур платы",IF($R42="Контур платы","Сверление",""))))</f>
        <v/>
      </c>
      <c r="S43" s="29"/>
      <c r="T43" s="29"/>
      <c r="U43" s="30"/>
      <c r="V43" s="23"/>
      <c r="W43" s="23"/>
      <c r="X43" s="23"/>
      <c r="Y43" s="23"/>
      <c r="Z43" s="23"/>
      <c r="AA43" s="46"/>
      <c r="AB43" s="46"/>
      <c r="AC43" s="23"/>
      <c r="AD43" s="47"/>
      <c r="AE43" s="4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spans="1:64" ht="12.75" customHeight="1" x14ac:dyDescent="0.35">
      <c r="A44" s="48"/>
      <c r="B44" s="49"/>
      <c r="C44" s="49"/>
      <c r="D44" s="35"/>
      <c r="E44" s="36"/>
      <c r="F44" s="37"/>
      <c r="G44" s="38"/>
      <c r="H44" s="38"/>
      <c r="I44" s="31"/>
      <c r="J44" s="31"/>
      <c r="K44" s="31"/>
      <c r="L44" s="31"/>
      <c r="M44" s="31"/>
      <c r="N44" s="53"/>
      <c r="O44" s="53"/>
      <c r="P44" s="51"/>
      <c r="Q44" s="23"/>
      <c r="R44" s="22" t="str">
        <f>IF(AND($R42&lt;&gt;"Шелкография  низ",$R43&lt;&gt;"Шелкография  низ",$R43&lt;&gt;"sverl",OR($E$23=$S$23,$E$23=$Q$23)),"Шелкография  низ",IF(OR($R43="Шелкография верх",$R43="Шелкография  низ"),"Контур платы",IF($R43="Контур платы","Сверление","")))</f>
        <v/>
      </c>
      <c r="S44" s="29"/>
      <c r="T44" s="29"/>
      <c r="U44" s="30"/>
      <c r="V44" s="23"/>
      <c r="W44" s="23"/>
      <c r="X44" s="23"/>
      <c r="Y44" s="23"/>
      <c r="Z44" s="23"/>
      <c r="AA44" s="46"/>
      <c r="AB44" s="46"/>
      <c r="AC44" s="23"/>
      <c r="AD44" s="47"/>
      <c r="AE44" s="32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</row>
    <row r="45" spans="1:64" ht="12.75" customHeight="1" x14ac:dyDescent="0.35">
      <c r="A45" s="33"/>
      <c r="B45" s="34"/>
      <c r="C45" s="34"/>
      <c r="D45" s="35"/>
      <c r="E45" s="36"/>
      <c r="F45" s="37"/>
      <c r="G45" s="38"/>
      <c r="H45" s="39"/>
      <c r="I45" s="31"/>
      <c r="J45" s="31"/>
      <c r="K45" s="31"/>
      <c r="L45" s="31"/>
      <c r="M45" s="31"/>
      <c r="N45" s="52"/>
      <c r="O45" s="53"/>
      <c r="P45" s="53"/>
      <c r="Q45" s="53"/>
      <c r="R45" s="22" t="str">
        <f>IF($R44="Шелкография  низ","Контур платы",IF($R44="Контур платы","Сверление",""))</f>
        <v/>
      </c>
      <c r="S45" s="53"/>
      <c r="T45" s="53"/>
      <c r="U45" s="53"/>
      <c r="V45" s="23"/>
      <c r="W45" s="23"/>
      <c r="X45" s="23"/>
      <c r="Y45" s="54" t="s">
        <v>64</v>
      </c>
      <c r="Z45" s="54" t="s">
        <v>52</v>
      </c>
      <c r="AA45" s="46"/>
      <c r="AB45" s="46"/>
      <c r="AC45" s="23"/>
      <c r="AD45" s="23"/>
      <c r="AE45" s="4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ht="12.75" customHeight="1" x14ac:dyDescent="0.35">
      <c r="A46" s="48"/>
      <c r="B46" s="49"/>
      <c r="C46" s="49"/>
      <c r="D46" s="35"/>
      <c r="E46" s="36"/>
      <c r="F46" s="37"/>
      <c r="G46" s="38"/>
      <c r="H46" s="38"/>
      <c r="I46" s="31"/>
      <c r="J46" s="31"/>
      <c r="K46" s="31"/>
      <c r="L46" s="31"/>
      <c r="M46" s="31"/>
      <c r="N46" s="52"/>
      <c r="O46" s="53"/>
      <c r="P46" s="53"/>
      <c r="Q46" s="53"/>
      <c r="R46" s="22" t="str">
        <f>IF($R45="Шелкография  низ","Контур платы",IF($R45="Контур платы","Сверление",""))</f>
        <v/>
      </c>
      <c r="S46" s="53"/>
      <c r="T46" s="53"/>
      <c r="U46" s="53"/>
      <c r="V46" s="23"/>
      <c r="W46" s="23"/>
      <c r="X46" s="23"/>
      <c r="Y46" s="23" t="s">
        <v>65</v>
      </c>
      <c r="Z46" s="23" t="s">
        <v>66</v>
      </c>
      <c r="AA46" s="46"/>
      <c r="AB46" s="46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</row>
    <row r="47" spans="1:64" ht="12.75" customHeight="1" x14ac:dyDescent="0.35">
      <c r="A47" s="33"/>
      <c r="B47" s="34"/>
      <c r="C47" s="34"/>
      <c r="D47" s="35"/>
      <c r="E47" s="36"/>
      <c r="F47" s="37"/>
      <c r="G47" s="38"/>
      <c r="H47" s="39"/>
      <c r="I47" s="31"/>
      <c r="J47" s="31"/>
      <c r="K47" s="31"/>
      <c r="L47" s="31"/>
      <c r="M47" s="31"/>
      <c r="N47" s="52"/>
      <c r="O47" s="53"/>
      <c r="P47" s="53"/>
      <c r="Q47" s="53"/>
      <c r="R47" s="53"/>
      <c r="S47" s="53"/>
      <c r="T47" s="53"/>
      <c r="U47" s="53"/>
      <c r="V47" s="23"/>
      <c r="W47" s="23"/>
      <c r="X47" s="23"/>
      <c r="Y47" s="23"/>
      <c r="Z47" s="23"/>
      <c r="AA47" s="46"/>
      <c r="AB47" s="46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</row>
    <row r="48" spans="1:64" ht="12.75" customHeight="1" x14ac:dyDescent="0.35">
      <c r="A48" s="48"/>
      <c r="B48" s="49"/>
      <c r="C48" s="49"/>
      <c r="D48" s="35"/>
      <c r="E48" s="36"/>
      <c r="F48" s="37"/>
      <c r="G48" s="38"/>
      <c r="H48" s="38"/>
      <c r="I48" s="31"/>
      <c r="J48" s="31"/>
      <c r="K48" s="31"/>
      <c r="L48" s="31"/>
      <c r="M48" s="31"/>
      <c r="N48" s="52"/>
      <c r="O48" s="53"/>
      <c r="P48" s="53"/>
      <c r="Q48" s="53"/>
      <c r="R48" s="53"/>
      <c r="S48" s="53"/>
      <c r="T48" s="53"/>
      <c r="U48" s="53"/>
      <c r="V48" s="23"/>
      <c r="W48" s="23"/>
      <c r="X48" s="23"/>
      <c r="Y48" s="23"/>
      <c r="Z48" s="23"/>
      <c r="AA48" s="46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spans="1:64" ht="12.75" customHeight="1" x14ac:dyDescent="0.35">
      <c r="A49" s="33"/>
      <c r="B49" s="34"/>
      <c r="C49" s="34"/>
      <c r="D49" s="35"/>
      <c r="E49" s="36"/>
      <c r="F49" s="37"/>
      <c r="G49" s="38"/>
      <c r="H49" s="39"/>
      <c r="I49" s="31"/>
      <c r="J49" s="31"/>
      <c r="K49" s="31"/>
      <c r="L49" s="31"/>
      <c r="M49" s="31"/>
      <c r="N49" s="52"/>
      <c r="O49" s="53"/>
      <c r="P49" s="53"/>
      <c r="Q49" s="53"/>
      <c r="R49" s="53"/>
      <c r="S49" s="53"/>
      <c r="T49" s="53"/>
      <c r="U49" s="53"/>
      <c r="V49" s="23"/>
      <c r="W49" s="23"/>
      <c r="X49" s="23"/>
      <c r="Y49" s="23"/>
      <c r="Z49" s="23"/>
      <c r="AA49" s="46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</row>
    <row r="50" spans="1:64" ht="12.75" customHeight="1" x14ac:dyDescent="0.35">
      <c r="A50" s="48"/>
      <c r="B50" s="49"/>
      <c r="C50" s="49"/>
      <c r="D50" s="35"/>
      <c r="E50" s="36"/>
      <c r="F50" s="37"/>
      <c r="G50" s="38"/>
      <c r="H50" s="38"/>
      <c r="I50" s="31"/>
      <c r="J50" s="31"/>
      <c r="K50" s="31"/>
      <c r="L50" s="31"/>
      <c r="M50" s="31"/>
      <c r="N50" s="52"/>
      <c r="O50" s="53"/>
      <c r="P50" s="53"/>
      <c r="Q50" s="53"/>
      <c r="R50" s="53"/>
      <c r="S50" s="53"/>
      <c r="T50" s="53"/>
      <c r="U50" s="53"/>
      <c r="V50" s="23"/>
      <c r="W50" s="23"/>
      <c r="X50" s="23"/>
      <c r="Y50" s="23"/>
      <c r="Z50" s="23"/>
      <c r="AA50" s="46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</row>
    <row r="51" spans="1:64" ht="12.75" customHeight="1" x14ac:dyDescent="0.35">
      <c r="A51" s="33"/>
      <c r="B51" s="34"/>
      <c r="C51" s="34"/>
      <c r="D51" s="35"/>
      <c r="E51" s="36"/>
      <c r="F51" s="37"/>
      <c r="G51" s="38"/>
      <c r="H51" s="39"/>
      <c r="I51" s="31"/>
      <c r="J51" s="31"/>
      <c r="K51" s="31"/>
      <c r="L51" s="31"/>
      <c r="M51" s="31"/>
      <c r="N51" s="52"/>
      <c r="O51" s="53"/>
      <c r="P51" s="53"/>
      <c r="Q51" s="53"/>
      <c r="R51" s="22" t="s">
        <v>54</v>
      </c>
      <c r="S51" s="29"/>
      <c r="T51" s="29"/>
      <c r="U51" s="30"/>
      <c r="V51" s="23"/>
      <c r="W51" s="23"/>
      <c r="X51" s="23"/>
      <c r="Y51" s="23"/>
      <c r="Z51" s="23"/>
      <c r="AA51" s="46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</row>
    <row r="52" spans="1:64" ht="12.75" customHeight="1" x14ac:dyDescent="0.25">
      <c r="A52" s="48"/>
      <c r="B52" s="49"/>
      <c r="C52" s="49"/>
      <c r="D52" s="35"/>
      <c r="E52" s="36"/>
      <c r="F52" s="37"/>
      <c r="G52" s="38"/>
      <c r="H52" s="38"/>
      <c r="I52" s="31"/>
      <c r="J52" s="31"/>
      <c r="K52" s="31"/>
      <c r="L52" s="31"/>
      <c r="M52" s="31"/>
      <c r="N52" s="52"/>
      <c r="O52" s="53"/>
      <c r="P52" s="53"/>
      <c r="Q52" s="53"/>
      <c r="R52" s="22" t="s">
        <v>56</v>
      </c>
      <c r="S52" s="29"/>
      <c r="T52" s="29"/>
      <c r="U52" s="30"/>
      <c r="V52" s="23"/>
      <c r="W52" s="23"/>
      <c r="X52" s="23"/>
      <c r="Y52" s="23"/>
      <c r="Z52" s="23"/>
      <c r="AA52" s="55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</row>
    <row r="53" spans="1:64" ht="12.75" customHeight="1" x14ac:dyDescent="0.25">
      <c r="A53" s="33"/>
      <c r="B53" s="34"/>
      <c r="C53" s="34"/>
      <c r="D53" s="35"/>
      <c r="E53" s="36"/>
      <c r="F53" s="37"/>
      <c r="G53" s="38"/>
      <c r="H53" s="39"/>
      <c r="I53" s="31"/>
      <c r="J53" s="31"/>
      <c r="K53" s="31"/>
      <c r="L53" s="31"/>
      <c r="M53" s="31"/>
      <c r="N53" s="52"/>
      <c r="O53" s="53"/>
      <c r="P53" s="53"/>
      <c r="Q53" s="53"/>
      <c r="R53" s="22" t="s">
        <v>57</v>
      </c>
      <c r="S53" s="29"/>
      <c r="T53" s="29"/>
      <c r="U53" s="30"/>
      <c r="V53" s="23"/>
      <c r="W53" s="23"/>
      <c r="X53" s="23"/>
      <c r="Y53" s="23"/>
      <c r="Z53" s="23"/>
      <c r="AA53" s="44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</row>
    <row r="54" spans="1:64" ht="15.65" customHeight="1" x14ac:dyDescent="0.35">
      <c r="A54" s="48"/>
      <c r="B54" s="49"/>
      <c r="C54" s="49"/>
      <c r="D54" s="35"/>
      <c r="E54" s="36"/>
      <c r="F54" s="37"/>
      <c r="G54" s="38"/>
      <c r="H54" s="38"/>
      <c r="I54" s="31"/>
      <c r="J54" s="31"/>
      <c r="K54" s="31"/>
      <c r="L54" s="31"/>
      <c r="M54" s="31"/>
      <c r="N54" s="52"/>
      <c r="O54" s="53"/>
      <c r="P54" s="53"/>
      <c r="Q54" s="53"/>
      <c r="R54" s="22" t="s">
        <v>67</v>
      </c>
      <c r="S54" s="53"/>
      <c r="T54" s="23"/>
      <c r="U54" s="23"/>
      <c r="V54" s="23"/>
      <c r="W54" s="23"/>
      <c r="X54" s="23"/>
      <c r="Y54" s="23"/>
      <c r="Z54" s="23"/>
      <c r="AA54" s="46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</row>
    <row r="55" spans="1:64" ht="13.15" customHeight="1" x14ac:dyDescent="0.25">
      <c r="A55" s="33"/>
      <c r="B55" s="34"/>
      <c r="C55" s="34"/>
      <c r="D55" s="35"/>
      <c r="E55" s="36"/>
      <c r="F55" s="37"/>
      <c r="G55" s="38"/>
      <c r="H55" s="38"/>
      <c r="I55" s="31"/>
      <c r="J55" s="31"/>
      <c r="K55" s="31"/>
      <c r="L55" s="31"/>
      <c r="M55" s="31"/>
      <c r="N55" s="52"/>
      <c r="O55" s="53"/>
      <c r="P55" s="53"/>
      <c r="Q55" s="53"/>
      <c r="R55" s="22" t="s">
        <v>68</v>
      </c>
      <c r="S55" s="5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spans="1:64" ht="13.15" customHeight="1" x14ac:dyDescent="0.25">
      <c r="A56" s="56"/>
      <c r="B56" s="49"/>
      <c r="C56" s="49"/>
      <c r="D56" s="35"/>
      <c r="E56" s="36"/>
      <c r="F56" s="37"/>
      <c r="G56" s="57"/>
      <c r="H56" s="57"/>
      <c r="I56" s="31"/>
      <c r="J56" s="31"/>
      <c r="K56" s="31"/>
      <c r="L56" s="31"/>
      <c r="M56" s="31"/>
      <c r="N56" s="52"/>
      <c r="O56" s="53"/>
      <c r="P56" s="53"/>
      <c r="Q56" s="53"/>
      <c r="R56" s="22" t="s">
        <v>55</v>
      </c>
      <c r="S56" s="29"/>
      <c r="T56" s="29"/>
      <c r="U56" s="30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spans="1:64" ht="13.15" customHeight="1" x14ac:dyDescent="0.25">
      <c r="A57" s="56"/>
      <c r="B57" s="34"/>
      <c r="C57" s="34"/>
      <c r="D57" s="35"/>
      <c r="E57" s="36"/>
      <c r="F57" s="37"/>
      <c r="G57" s="38"/>
      <c r="H57" s="38"/>
      <c r="I57" s="31"/>
      <c r="J57" s="31"/>
      <c r="K57" s="31"/>
      <c r="L57" s="31"/>
      <c r="M57" s="31"/>
      <c r="N57" s="52"/>
      <c r="O57" s="53"/>
      <c r="P57" s="53"/>
      <c r="Q57" s="53"/>
      <c r="R57" s="22" t="str">
        <f>IF(OR($E$22=$Q$22,$E$22=$R$22),"Маска верх",IF($E$22=$S$22,"Маска низ",IF(AND($R56&lt;&gt;"Шелкография верх",(OR($E$23=$Q$23,$E$23=$R$23))),"Шелкография верх",IF($E$23=$S$23,"Шелкография  низ",IF(OR($R56="Маска верх",$R56="Маска низ",$R56="Шелкография верх",$R56="Нижний"),"Контур платы",IF($R56="Контур платы","Сверлениеl",""))))))</f>
        <v>Контур платы</v>
      </c>
      <c r="S57" s="29"/>
      <c r="T57" s="29"/>
      <c r="U57" s="30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spans="1:64" ht="13.15" customHeight="1" x14ac:dyDescent="0.25">
      <c r="I58" s="58"/>
      <c r="J58" s="58"/>
      <c r="K58" s="58"/>
      <c r="L58" s="67"/>
      <c r="M58" s="67"/>
      <c r="N58" s="67"/>
      <c r="O58" s="53"/>
      <c r="P58" s="53"/>
      <c r="Q58" s="53"/>
      <c r="R58" s="22" t="str">
        <f>IF(AND($E$22=$Q$22,$R57&lt;&gt;"Маска низ"),"Маска низ",IF(AND($R57&lt;&gt;"Шелкография верх",(OR($E$23=$Q$23,$E$23=$R$23))),"Шелкография верх",IF(AND($R57&lt;&gt;"Шелкография  низ",OR($E$23=$S$23,$E$23=$Q$23)),"Шелкография  низ",IF(OR($R57="Маска верх",$R57="Маска низ",$R57="Шелкография верх",$R57="Шелкография  низ"),"Контур платы",IF($R57="Контур платы","Сверление","")))))</f>
        <v>Сверление</v>
      </c>
      <c r="S58" s="29"/>
      <c r="T58" s="29"/>
      <c r="U58" s="30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spans="1:64" ht="13.15" customHeight="1" x14ac:dyDescent="0.25">
      <c r="I59" s="58"/>
      <c r="J59" s="58"/>
      <c r="K59" s="58"/>
      <c r="L59" s="67"/>
      <c r="M59" s="67"/>
      <c r="N59" s="67"/>
      <c r="O59" s="53"/>
      <c r="P59" s="53"/>
      <c r="Q59" s="53"/>
      <c r="R59" s="22" t="str">
        <f>IF(AND($R57&lt;&gt;"Шелкография  низ",$R57&lt;&gt;"Шелкография верх",$R58&lt;&gt;"Шелкография верх",OR($E$23=$Q$23,$E$23=$R$23)),"Шелкография верх",IF(AND($R57&lt;&gt;"Шелкография  низ",$R58&lt;&gt;"Шелкография  низ",OR($E$23=$S$23,$E$23=$Q$23)),"Шелкография  низ",IF(OR($R58="Маска низ",$R58="Шелкография верх",$R58="Шелкография  низ"),"Контур платы",IF($R58="Контур платы","Сверление",""))))</f>
        <v/>
      </c>
      <c r="S59" s="29"/>
      <c r="T59" s="29"/>
      <c r="U59" s="30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spans="1:64" ht="12.75" customHeight="1" x14ac:dyDescent="0.25">
      <c r="A60" s="59"/>
      <c r="B60" s="60"/>
      <c r="C60" s="60"/>
      <c r="D60" s="61"/>
      <c r="E60" s="61"/>
      <c r="F60" s="61"/>
      <c r="G60" s="62"/>
      <c r="H60" s="62"/>
      <c r="I60" s="68"/>
      <c r="J60" s="68"/>
      <c r="K60" s="68"/>
      <c r="L60" s="70"/>
      <c r="M60" s="70"/>
      <c r="N60" s="70"/>
      <c r="O60" s="53"/>
      <c r="P60" s="53"/>
      <c r="Q60" s="53"/>
      <c r="R60" s="22" t="str">
        <f>IF(AND($R58&lt;&gt;"Шелкография  низ",$R59&lt;&gt;"Шелкография  низ",$R59&lt;&gt;"sverl",OR($E$23=$S$23,$E$23=$Q$23)),"Шелкография  низ",IF(OR($R59="Шелкография верх",$R59="Шелкография  низ"),"Контур платы",IF($R59="Контур платы","Сверление","")))</f>
        <v/>
      </c>
      <c r="S60" s="29"/>
      <c r="T60" s="29"/>
      <c r="U60" s="30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spans="1:64" ht="12.75" customHeight="1" x14ac:dyDescent="0.25">
      <c r="A61" s="63"/>
      <c r="B61" s="60"/>
      <c r="C61" s="60"/>
      <c r="D61" s="61"/>
      <c r="E61" s="61"/>
      <c r="F61" s="61"/>
      <c r="G61" s="62"/>
      <c r="H61" s="62"/>
      <c r="I61" s="68"/>
      <c r="J61" s="68"/>
      <c r="K61" s="68"/>
      <c r="L61" s="70"/>
      <c r="M61" s="70"/>
      <c r="N61" s="70"/>
      <c r="O61" s="53"/>
      <c r="P61" s="53"/>
      <c r="Q61" s="53"/>
      <c r="R61" s="22" t="str">
        <f>IF($R60="Шелкография  низ","Контур платы",IF($R60="Контур платы","Сверление",""))</f>
        <v/>
      </c>
      <c r="S61" s="5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spans="1:64" ht="12.75" customHeight="1" x14ac:dyDescent="0.25">
      <c r="A62" s="63"/>
      <c r="B62" s="60"/>
      <c r="C62" s="60"/>
      <c r="D62" s="61"/>
      <c r="E62" s="61"/>
      <c r="F62" s="61"/>
      <c r="G62" s="62"/>
      <c r="H62" s="62"/>
      <c r="I62" s="68"/>
      <c r="J62" s="68"/>
      <c r="K62" s="68"/>
      <c r="L62" s="70"/>
      <c r="M62" s="70"/>
      <c r="N62" s="70"/>
      <c r="O62" s="53"/>
      <c r="P62" s="53"/>
      <c r="Q62" s="53"/>
      <c r="R62" s="22" t="str">
        <f>IF($R61="Шелкография  низ","Контур платы",IF($R61="Контур платы","Сверление",""))</f>
        <v/>
      </c>
      <c r="S62" s="53"/>
      <c r="T62" s="53"/>
      <c r="U62" s="5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spans="1:64" ht="12.75" customHeight="1" x14ac:dyDescent="0.25">
      <c r="A63" s="63"/>
      <c r="B63" s="60"/>
      <c r="C63" s="60"/>
      <c r="D63" s="61"/>
      <c r="E63" s="61"/>
      <c r="F63" s="61"/>
      <c r="G63" s="62"/>
      <c r="H63" s="62"/>
      <c r="I63" s="68"/>
      <c r="J63" s="68"/>
      <c r="K63" s="68"/>
      <c r="L63" s="70"/>
      <c r="M63" s="70"/>
      <c r="N63" s="70"/>
      <c r="O63" s="53"/>
      <c r="P63" s="53"/>
      <c r="Q63" s="53"/>
      <c r="R63" s="53"/>
      <c r="S63" s="53"/>
      <c r="T63" s="53"/>
      <c r="U63" s="53"/>
      <c r="V63" s="5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spans="1:64" ht="12.75" customHeight="1" x14ac:dyDescent="0.25">
      <c r="A64" s="63"/>
      <c r="B64" s="61"/>
      <c r="C64" s="61"/>
      <c r="D64" s="61"/>
      <c r="E64" s="61"/>
      <c r="F64" s="61"/>
      <c r="G64" s="62"/>
      <c r="H64" s="62"/>
      <c r="I64" s="68"/>
      <c r="J64" s="68"/>
      <c r="K64" s="68"/>
      <c r="L64" s="70"/>
      <c r="M64" s="70"/>
      <c r="N64" s="70"/>
      <c r="O64" s="53"/>
      <c r="P64" s="53"/>
      <c r="Q64" s="53"/>
      <c r="R64" s="53"/>
      <c r="S64" s="53"/>
      <c r="T64" s="53"/>
      <c r="U64" s="53"/>
      <c r="V64" s="5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spans="1:64" ht="12.75" customHeight="1" x14ac:dyDescent="0.25">
      <c r="A65" s="62"/>
      <c r="B65" s="61"/>
      <c r="C65" s="61"/>
      <c r="D65" s="61"/>
      <c r="E65" s="61"/>
      <c r="F65" s="61"/>
      <c r="G65" s="62"/>
      <c r="H65" s="62"/>
      <c r="I65" s="68"/>
      <c r="J65" s="68"/>
      <c r="K65" s="68"/>
      <c r="L65" s="70"/>
      <c r="M65" s="70"/>
      <c r="N65" s="70"/>
      <c r="O65" s="53"/>
      <c r="P65" s="53"/>
      <c r="Q65" s="53"/>
      <c r="R65" s="22" t="s">
        <v>54</v>
      </c>
      <c r="S65" s="29"/>
      <c r="T65" s="29"/>
      <c r="U65" s="30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spans="1:64" ht="12.75" customHeight="1" x14ac:dyDescent="0.25">
      <c r="A66" s="62"/>
      <c r="B66" s="61"/>
      <c r="C66" s="61"/>
      <c r="D66" s="61"/>
      <c r="E66" s="61"/>
      <c r="F66" s="61"/>
      <c r="G66" s="62"/>
      <c r="H66" s="62"/>
      <c r="I66" s="68"/>
      <c r="J66" s="68"/>
      <c r="K66" s="68"/>
      <c r="L66" s="70"/>
      <c r="M66" s="70"/>
      <c r="N66" s="70"/>
      <c r="O66" s="53"/>
      <c r="P66" s="53"/>
      <c r="Q66" s="53"/>
      <c r="R66" s="22" t="s">
        <v>56</v>
      </c>
      <c r="S66" s="29"/>
      <c r="T66" s="29"/>
      <c r="U66" s="30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spans="1:64" ht="12.75" customHeight="1" x14ac:dyDescent="0.25">
      <c r="A67" s="62"/>
      <c r="B67" s="61"/>
      <c r="C67" s="61"/>
      <c r="D67" s="61"/>
      <c r="E67" s="61"/>
      <c r="F67" s="61"/>
      <c r="G67" s="62"/>
      <c r="H67" s="62"/>
      <c r="I67" s="68"/>
      <c r="J67" s="68"/>
      <c r="K67" s="68"/>
      <c r="L67" s="70"/>
      <c r="M67" s="70"/>
      <c r="N67" s="70"/>
      <c r="O67" s="53"/>
      <c r="P67" s="53"/>
      <c r="Q67" s="53"/>
      <c r="R67" s="22" t="s">
        <v>57</v>
      </c>
      <c r="S67" s="29"/>
      <c r="T67" s="29"/>
      <c r="U67" s="30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spans="1:64" ht="12.75" customHeight="1" x14ac:dyDescent="0.25">
      <c r="A68" s="62"/>
      <c r="B68" s="62"/>
      <c r="C68" s="62"/>
      <c r="D68" s="62"/>
      <c r="E68" s="62"/>
      <c r="F68" s="62"/>
      <c r="G68" s="62"/>
      <c r="H68" s="62"/>
      <c r="I68" s="68"/>
      <c r="J68" s="68"/>
      <c r="K68" s="68"/>
      <c r="L68" s="69"/>
      <c r="M68" s="69"/>
      <c r="N68" s="69"/>
      <c r="O68" s="53"/>
      <c r="P68" s="53"/>
      <c r="Q68" s="53"/>
      <c r="R68" s="22" t="s">
        <v>67</v>
      </c>
      <c r="S68" s="5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spans="1:64" ht="12.75" customHeight="1" x14ac:dyDescent="0.25">
      <c r="A69" s="62"/>
      <c r="B69" s="62"/>
      <c r="C69" s="62"/>
      <c r="D69" s="62"/>
      <c r="E69" s="62"/>
      <c r="F69" s="62"/>
      <c r="G69" s="62"/>
      <c r="H69" s="62"/>
      <c r="I69" s="68"/>
      <c r="J69" s="68"/>
      <c r="K69" s="68"/>
      <c r="L69" s="69"/>
      <c r="M69" s="69"/>
      <c r="N69" s="69"/>
      <c r="O69" s="53"/>
      <c r="P69" s="53"/>
      <c r="Q69" s="53"/>
      <c r="R69" s="22" t="s">
        <v>68</v>
      </c>
      <c r="S69" s="5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spans="1:64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8"/>
      <c r="J70" s="68"/>
      <c r="K70" s="68"/>
      <c r="L70" s="69"/>
      <c r="M70" s="69"/>
      <c r="N70" s="69"/>
      <c r="O70" s="53"/>
      <c r="P70" s="53"/>
      <c r="Q70" s="53"/>
      <c r="R70" s="22" t="s">
        <v>69</v>
      </c>
      <c r="S70" s="5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spans="1:64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8"/>
      <c r="J71" s="68"/>
      <c r="K71" s="68"/>
      <c r="L71" s="69"/>
      <c r="M71" s="69"/>
      <c r="N71" s="69"/>
      <c r="O71" s="53"/>
      <c r="P71" s="53"/>
      <c r="Q71" s="53"/>
      <c r="R71" s="22" t="s">
        <v>70</v>
      </c>
      <c r="S71" s="5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spans="1:64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8"/>
      <c r="J72" s="68"/>
      <c r="K72" s="68"/>
      <c r="L72" s="69"/>
      <c r="M72" s="69"/>
      <c r="N72" s="69"/>
      <c r="O72" s="53"/>
      <c r="P72" s="53"/>
      <c r="Q72" s="53"/>
      <c r="R72" s="22" t="s">
        <v>55</v>
      </c>
      <c r="S72" s="29"/>
      <c r="T72" s="29"/>
      <c r="U72" s="30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spans="1:64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8"/>
      <c r="J73" s="68"/>
      <c r="K73" s="68"/>
      <c r="L73" s="69"/>
      <c r="M73" s="69"/>
      <c r="N73" s="69"/>
      <c r="O73" s="53"/>
      <c r="P73" s="53"/>
      <c r="Q73" s="53"/>
      <c r="R73" s="22" t="str">
        <f>IF(OR($E$22=$Q$22,$E$22=$R$22),"Маска верх",IF($E$22=$S$22,"Маска низ",IF(AND($R72&lt;&gt;"Шелкография верх",(OR($E$23=$Q$23,$E$23=$R$23))),"Шелкография верх",IF($E$23=$S$23,"Шелкография  низ",IF(OR($R72="Маска верх",$R72="Маска низ",$R72="Шелкография верх",$R72="Нижний"),"Контур платы",IF($R72="Контур платы","Сверлениеl",""))))))</f>
        <v>Контур платы</v>
      </c>
      <c r="S73" s="29"/>
      <c r="T73" s="29"/>
      <c r="U73" s="30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spans="1:64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8"/>
      <c r="J74" s="68"/>
      <c r="K74" s="68"/>
      <c r="L74" s="69"/>
      <c r="M74" s="69"/>
      <c r="N74" s="69"/>
      <c r="O74" s="53"/>
      <c r="P74" s="53"/>
      <c r="Q74" s="53"/>
      <c r="R74" s="22" t="str">
        <f>IF(AND($E$22=$Q$22,$R73&lt;&gt;"Маска низ"),"Маска низ",IF(AND($R73&lt;&gt;"Шелкография верх",(OR($E$23=$Q$23,$E$23=$R$23))),"Шелкография верх",IF(AND($R73&lt;&gt;"Шелкография  низ",OR($E$23=$S$23,$E$23=$Q$23)),"Шелкография  низ",IF(OR($R73="Маска верх",$R73="Маска низ",$R73="Шелкография верх",$R73="Шелкография  низ"),"Контур платы",IF($R73="Контур платы","Сверление","")))))</f>
        <v>Сверление</v>
      </c>
      <c r="S74" s="29"/>
      <c r="T74" s="29"/>
      <c r="U74" s="30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spans="1:64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8"/>
      <c r="J75" s="68"/>
      <c r="K75" s="68"/>
      <c r="L75" s="69"/>
      <c r="M75" s="69"/>
      <c r="N75" s="69"/>
      <c r="O75" s="53"/>
      <c r="P75" s="53"/>
      <c r="Q75" s="53"/>
      <c r="R75" s="22" t="str">
        <f>IF(AND($R73&lt;&gt;"Шелкография  низ",$R73&lt;&gt;"Шелкография верх",$R74&lt;&gt;"Шелкография верх",OR($E$23=$Q$23,$E$23=$R$23)),"Шелкография верх",IF(AND($R73&lt;&gt;"Шелкография  низ",$R74&lt;&gt;"Шелкография  низ",OR($E$23=$S$23,$E$23=$Q$23)),"Шелкография  низ",IF(OR($R74="Маска низ",$R74="Шелкография верх",$R74="Шелкография  низ"),"Контур платы",IF($R74="Контур платы","Сверление",""))))</f>
        <v/>
      </c>
      <c r="S75" s="29"/>
      <c r="T75" s="29"/>
      <c r="U75" s="30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spans="1:64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8"/>
      <c r="J76" s="68"/>
      <c r="K76" s="68"/>
      <c r="L76" s="69"/>
      <c r="M76" s="69"/>
      <c r="N76" s="69"/>
      <c r="O76" s="53"/>
      <c r="P76" s="53"/>
      <c r="Q76" s="53"/>
      <c r="R76" s="22" t="str">
        <f>IF(AND($R74&lt;&gt;"Шелкография  низ",$R75&lt;&gt;"Шелкография  низ",$R75&lt;&gt;"sverl",OR($E$23=$S$23,$E$23=$Q$23)),"Шелкография  низ",IF(OR($R75="Шелкография верх",$R75="Шелкография  низ"),"Контур платы",IF($R75="Контур платы","Сверление","")))</f>
        <v/>
      </c>
      <c r="S76" s="29"/>
      <c r="T76" s="29"/>
      <c r="U76" s="30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spans="1:64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8"/>
      <c r="J77" s="68"/>
      <c r="K77" s="68"/>
      <c r="L77" s="69"/>
      <c r="M77" s="69"/>
      <c r="N77" s="69"/>
      <c r="O77" s="53"/>
      <c r="P77" s="53"/>
      <c r="Q77" s="53"/>
      <c r="R77" s="22" t="str">
        <f>IF($R76="Шелкография  низ","Контур платы",IF($R76="Контур платы","Сверление",""))</f>
        <v/>
      </c>
      <c r="S77" s="53"/>
      <c r="T77" s="53"/>
      <c r="U77" s="5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spans="1:64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8"/>
      <c r="J78" s="68"/>
      <c r="K78" s="68"/>
      <c r="L78" s="69"/>
      <c r="M78" s="69"/>
      <c r="N78" s="69"/>
      <c r="O78" s="53"/>
      <c r="P78" s="53"/>
      <c r="Q78" s="53"/>
      <c r="R78" s="22" t="str">
        <f>IF($R77="Шелкография  низ","Контур платы",IF($R77="Контур платы","Сверление",""))</f>
        <v/>
      </c>
      <c r="S78" s="53"/>
      <c r="T78" s="53"/>
      <c r="U78" s="5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spans="1:64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8"/>
      <c r="J79" s="68"/>
      <c r="K79" s="68"/>
      <c r="L79" s="69"/>
      <c r="M79" s="69"/>
      <c r="N79" s="69"/>
      <c r="O79" s="53"/>
      <c r="P79" s="53"/>
      <c r="Q79" s="53"/>
      <c r="R79" s="53"/>
      <c r="S79" s="5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spans="1:64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8"/>
      <c r="J80" s="68"/>
      <c r="K80" s="68"/>
      <c r="L80" s="69"/>
      <c r="M80" s="69"/>
      <c r="N80" s="69"/>
      <c r="O80" s="53"/>
      <c r="P80" s="53"/>
      <c r="Q80" s="53"/>
      <c r="R80" s="53"/>
      <c r="S80" s="5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spans="1:64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8"/>
      <c r="J81" s="68"/>
      <c r="K81" s="68"/>
      <c r="L81" s="69"/>
      <c r="M81" s="69"/>
      <c r="N81" s="69"/>
      <c r="O81" s="53"/>
      <c r="P81" s="53"/>
      <c r="Q81" s="53"/>
      <c r="R81" s="53"/>
      <c r="S81" s="5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spans="1:64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8"/>
      <c r="J82" s="68"/>
      <c r="K82" s="68"/>
      <c r="L82" s="69"/>
      <c r="M82" s="69"/>
      <c r="N82" s="69"/>
      <c r="O82" s="53"/>
      <c r="P82" s="53"/>
      <c r="Q82" s="53"/>
      <c r="R82" s="53"/>
      <c r="S82" s="5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spans="1:64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8"/>
      <c r="J83" s="68"/>
      <c r="K83" s="68"/>
      <c r="L83" s="69"/>
      <c r="M83" s="69"/>
      <c r="N83" s="69"/>
      <c r="O83" s="53"/>
      <c r="P83" s="53"/>
      <c r="Q83" s="53"/>
      <c r="R83" s="53"/>
      <c r="S83" s="5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spans="1:64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8"/>
      <c r="J84" s="68"/>
      <c r="K84" s="68"/>
      <c r="L84" s="69"/>
      <c r="M84" s="69"/>
      <c r="N84" s="69"/>
      <c r="O84" s="53"/>
      <c r="P84" s="53"/>
      <c r="Q84" s="53"/>
      <c r="R84" s="53"/>
      <c r="S84" s="5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spans="1:64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8"/>
      <c r="J85" s="68"/>
      <c r="K85" s="68"/>
      <c r="L85" s="69"/>
      <c r="M85" s="69"/>
      <c r="N85" s="69"/>
      <c r="O85" s="53"/>
      <c r="P85" s="53"/>
      <c r="Q85" s="53"/>
      <c r="R85" s="53"/>
      <c r="S85" s="5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spans="1:64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8"/>
      <c r="J86" s="68"/>
      <c r="K86" s="68"/>
      <c r="L86" s="69"/>
      <c r="M86" s="69"/>
      <c r="N86" s="69"/>
      <c r="O86" s="53"/>
      <c r="P86" s="53"/>
      <c r="Q86" s="53"/>
      <c r="R86" s="53"/>
      <c r="S86" s="5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spans="1:64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8"/>
      <c r="J87" s="68"/>
      <c r="K87" s="68"/>
      <c r="L87" s="69"/>
      <c r="M87" s="69"/>
      <c r="N87" s="69"/>
      <c r="O87" s="53"/>
      <c r="P87" s="53"/>
      <c r="Q87" s="53"/>
      <c r="R87" s="53"/>
      <c r="S87" s="5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spans="1:64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8"/>
      <c r="J88" s="68"/>
      <c r="K88" s="68"/>
      <c r="L88" s="69"/>
      <c r="M88" s="69"/>
      <c r="N88" s="69"/>
      <c r="O88" s="53"/>
      <c r="P88" s="53"/>
      <c r="Q88" s="53"/>
      <c r="R88" s="53"/>
      <c r="S88" s="5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spans="1:64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8"/>
      <c r="J89" s="68"/>
      <c r="K89" s="68"/>
      <c r="L89" s="69"/>
      <c r="M89" s="69"/>
      <c r="N89" s="69"/>
      <c r="O89" s="53"/>
      <c r="P89" s="53"/>
      <c r="Q89" s="53"/>
      <c r="R89" s="53"/>
      <c r="S89" s="5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spans="1:64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8"/>
      <c r="J90" s="68"/>
      <c r="K90" s="68"/>
      <c r="L90" s="69"/>
      <c r="M90" s="69"/>
      <c r="N90" s="69"/>
      <c r="O90" s="53"/>
      <c r="P90" s="53"/>
      <c r="Q90" s="53"/>
      <c r="R90" s="53"/>
      <c r="S90" s="5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spans="1:64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8"/>
      <c r="J91" s="68"/>
      <c r="K91" s="68"/>
      <c r="L91" s="69"/>
      <c r="M91" s="69"/>
      <c r="N91" s="69"/>
      <c r="O91" s="53"/>
      <c r="P91" s="53"/>
      <c r="Q91" s="53"/>
      <c r="R91" s="53"/>
      <c r="S91" s="5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spans="1:64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8"/>
      <c r="J92" s="68"/>
      <c r="K92" s="68"/>
      <c r="L92" s="69"/>
      <c r="M92" s="69"/>
      <c r="N92" s="69"/>
      <c r="O92" s="53"/>
      <c r="P92" s="53"/>
      <c r="Q92" s="53"/>
      <c r="R92" s="53"/>
      <c r="S92" s="5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spans="1:64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8"/>
      <c r="J93" s="68"/>
      <c r="K93" s="68"/>
      <c r="L93" s="69"/>
      <c r="M93" s="69"/>
      <c r="N93" s="69"/>
      <c r="O93" s="53"/>
      <c r="P93" s="53"/>
      <c r="Q93" s="53"/>
      <c r="R93" s="53"/>
      <c r="S93" s="5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spans="1:64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8"/>
      <c r="J94" s="68"/>
      <c r="K94" s="68"/>
      <c r="L94" s="69"/>
      <c r="M94" s="69"/>
      <c r="N94" s="69"/>
      <c r="O94" s="53"/>
      <c r="P94" s="53"/>
      <c r="Q94" s="53"/>
      <c r="R94" s="53"/>
      <c r="S94" s="5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spans="1:64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8"/>
      <c r="J95" s="68"/>
      <c r="K95" s="68"/>
      <c r="L95" s="69"/>
      <c r="M95" s="69"/>
      <c r="N95" s="69"/>
      <c r="O95" s="53"/>
      <c r="P95" s="53"/>
      <c r="Q95" s="53"/>
      <c r="R95" s="53"/>
      <c r="S95" s="5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spans="1:64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8"/>
      <c r="J96" s="68"/>
      <c r="K96" s="68"/>
      <c r="L96" s="69"/>
      <c r="M96" s="69"/>
      <c r="N96" s="69"/>
      <c r="O96" s="53"/>
      <c r="P96" s="53"/>
      <c r="Q96" s="53"/>
      <c r="R96" s="53"/>
      <c r="S96" s="5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spans="1:64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8"/>
      <c r="J97" s="68"/>
      <c r="K97" s="68"/>
      <c r="L97" s="69"/>
      <c r="M97" s="69"/>
      <c r="N97" s="69"/>
      <c r="O97" s="53"/>
      <c r="P97" s="53"/>
      <c r="Q97" s="53"/>
      <c r="R97" s="53"/>
      <c r="S97" s="5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spans="1:64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8"/>
      <c r="J98" s="68"/>
      <c r="K98" s="68"/>
      <c r="L98" s="69"/>
      <c r="M98" s="69"/>
      <c r="N98" s="69"/>
      <c r="O98" s="53"/>
      <c r="P98" s="53"/>
      <c r="Q98" s="53"/>
      <c r="R98" s="53"/>
      <c r="S98" s="5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spans="1:64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8"/>
      <c r="J99" s="68"/>
      <c r="K99" s="68"/>
      <c r="L99" s="69"/>
      <c r="M99" s="69"/>
      <c r="N99" s="69"/>
      <c r="O99" s="53"/>
      <c r="P99" s="53"/>
      <c r="Q99" s="53"/>
      <c r="R99" s="53"/>
      <c r="S99" s="5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spans="1:64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8"/>
      <c r="J100" s="68"/>
      <c r="K100" s="68"/>
      <c r="L100" s="69"/>
      <c r="M100" s="69"/>
      <c r="N100" s="69"/>
      <c r="O100" s="53"/>
      <c r="P100" s="53"/>
      <c r="Q100" s="53"/>
      <c r="R100" s="53"/>
      <c r="S100" s="5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spans="1:64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8"/>
      <c r="J101" s="68"/>
      <c r="K101" s="68"/>
      <c r="L101" s="69"/>
      <c r="M101" s="69"/>
      <c r="N101" s="69"/>
      <c r="O101" s="53"/>
      <c r="P101" s="53"/>
      <c r="Q101" s="53"/>
      <c r="R101" s="53"/>
      <c r="S101" s="5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spans="1:64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8"/>
      <c r="J102" s="68"/>
      <c r="K102" s="68"/>
      <c r="L102" s="69"/>
      <c r="M102" s="69"/>
      <c r="N102" s="69"/>
      <c r="O102" s="53"/>
      <c r="P102" s="53"/>
      <c r="Q102" s="53"/>
      <c r="R102" s="53"/>
      <c r="S102" s="5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spans="1:64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8"/>
      <c r="J103" s="68"/>
      <c r="K103" s="68"/>
      <c r="L103" s="69"/>
      <c r="M103" s="69"/>
      <c r="N103" s="69"/>
      <c r="O103" s="53"/>
      <c r="P103" s="53"/>
      <c r="Q103" s="53"/>
      <c r="R103" s="53"/>
      <c r="S103" s="5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spans="1:64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8"/>
      <c r="J104" s="68"/>
      <c r="K104" s="68"/>
      <c r="L104" s="69"/>
      <c r="M104" s="69"/>
      <c r="N104" s="69"/>
      <c r="O104" s="53"/>
      <c r="P104" s="53"/>
      <c r="Q104" s="53"/>
      <c r="R104" s="53"/>
      <c r="S104" s="5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spans="1:64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8"/>
      <c r="J105" s="68"/>
      <c r="K105" s="68"/>
      <c r="L105" s="69"/>
      <c r="M105" s="69"/>
      <c r="N105" s="69"/>
      <c r="O105" s="53"/>
      <c r="P105" s="53"/>
      <c r="Q105" s="53"/>
      <c r="R105" s="53"/>
      <c r="S105" s="5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spans="1:64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8"/>
      <c r="J106" s="68"/>
      <c r="K106" s="68"/>
      <c r="L106" s="69"/>
      <c r="M106" s="69"/>
      <c r="N106" s="69"/>
      <c r="O106" s="53"/>
      <c r="P106" s="53"/>
      <c r="Q106" s="53"/>
      <c r="R106" s="53"/>
      <c r="S106" s="5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spans="1:64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8"/>
      <c r="J107" s="68"/>
      <c r="K107" s="68"/>
      <c r="L107" s="69"/>
      <c r="M107" s="69"/>
      <c r="N107" s="69"/>
      <c r="O107" s="53"/>
      <c r="P107" s="53"/>
      <c r="Q107" s="53"/>
      <c r="R107" s="53"/>
      <c r="S107" s="5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spans="1:64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8"/>
      <c r="J108" s="68"/>
      <c r="K108" s="68"/>
      <c r="L108" s="69"/>
      <c r="M108" s="69"/>
      <c r="N108" s="69"/>
      <c r="O108" s="53"/>
      <c r="P108" s="53"/>
      <c r="Q108" s="53"/>
      <c r="R108" s="53"/>
      <c r="S108" s="5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spans="1:64" ht="13.15" customHeight="1" x14ac:dyDescent="0.25">
      <c r="I109" s="65"/>
      <c r="J109" s="65"/>
      <c r="K109" s="65"/>
      <c r="L109" s="53"/>
      <c r="M109" s="53"/>
      <c r="N109" s="53"/>
      <c r="O109" s="53"/>
      <c r="P109" s="53"/>
      <c r="Q109" s="53"/>
      <c r="R109" s="53"/>
      <c r="S109" s="5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spans="1:64" ht="13.15" customHeight="1" x14ac:dyDescent="0.25">
      <c r="I110" s="65"/>
      <c r="J110" s="65"/>
      <c r="K110" s="65"/>
      <c r="L110" s="53"/>
      <c r="M110" s="53"/>
      <c r="N110" s="53"/>
      <c r="O110" s="53"/>
      <c r="P110" s="53"/>
      <c r="Q110" s="53"/>
      <c r="R110" s="53"/>
      <c r="S110" s="5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spans="1:64" ht="13.15" customHeight="1" x14ac:dyDescent="0.25">
      <c r="I111" s="65"/>
      <c r="J111" s="65"/>
      <c r="K111" s="65"/>
      <c r="L111" s="53"/>
      <c r="M111" s="53"/>
      <c r="N111" s="53"/>
      <c r="O111" s="53"/>
      <c r="P111" s="53"/>
      <c r="Q111" s="53"/>
      <c r="R111" s="53"/>
      <c r="S111" s="5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spans="1:64" ht="13.15" customHeight="1" x14ac:dyDescent="0.25">
      <c r="I112" s="65"/>
      <c r="J112" s="65"/>
      <c r="K112" s="65"/>
      <c r="L112" s="53"/>
      <c r="M112" s="53"/>
      <c r="N112" s="53"/>
      <c r="O112" s="53"/>
      <c r="P112" s="53"/>
      <c r="Q112" s="53"/>
      <c r="R112" s="53"/>
      <c r="S112" s="5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spans="9:64" ht="13.15" customHeight="1" x14ac:dyDescent="0.25">
      <c r="I113" s="65"/>
      <c r="J113" s="65"/>
      <c r="K113" s="65"/>
      <c r="L113" s="53"/>
      <c r="M113" s="53"/>
      <c r="N113" s="53"/>
      <c r="O113" s="53"/>
      <c r="P113" s="53"/>
      <c r="Q113" s="53"/>
      <c r="R113" s="53"/>
      <c r="S113" s="5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spans="9:64" ht="13.15" customHeight="1" x14ac:dyDescent="0.25">
      <c r="I114" s="65"/>
      <c r="J114" s="65"/>
      <c r="K114" s="65"/>
      <c r="L114" s="53"/>
      <c r="M114" s="53"/>
      <c r="N114" s="53"/>
      <c r="O114" s="53"/>
      <c r="P114" s="53"/>
      <c r="Q114" s="53"/>
      <c r="R114" s="53"/>
      <c r="S114" s="5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spans="9:64" ht="13.15" customHeight="1" x14ac:dyDescent="0.25">
      <c r="I115" s="65"/>
      <c r="J115" s="65"/>
      <c r="K115" s="65"/>
      <c r="L115" s="53"/>
      <c r="M115" s="53"/>
      <c r="N115" s="53"/>
      <c r="O115" s="53"/>
      <c r="P115" s="53"/>
      <c r="Q115" s="53"/>
      <c r="R115" s="53"/>
      <c r="S115" s="5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spans="9:64" ht="13.15" customHeight="1" x14ac:dyDescent="0.25">
      <c r="I116" s="65"/>
      <c r="J116" s="65"/>
      <c r="K116" s="65"/>
      <c r="L116" s="53"/>
      <c r="M116" s="53"/>
      <c r="N116" s="53"/>
      <c r="O116" s="53"/>
      <c r="P116" s="53"/>
      <c r="Q116" s="53"/>
      <c r="R116" s="53"/>
      <c r="S116" s="5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</sheetData>
  <sheetProtection formatCells="0" selectLockedCells="1"/>
  <mergeCells count="160">
    <mergeCell ref="A1:L1"/>
    <mergeCell ref="A2:D2"/>
    <mergeCell ref="E2:L2"/>
    <mergeCell ref="A3:C3"/>
    <mergeCell ref="E3:L3"/>
    <mergeCell ref="A6:D6"/>
    <mergeCell ref="E6:M6"/>
    <mergeCell ref="A7:D7"/>
    <mergeCell ref="E7:M7"/>
    <mergeCell ref="A4:C4"/>
    <mergeCell ref="E4:L4"/>
    <mergeCell ref="A5:D5"/>
    <mergeCell ref="E5:M5"/>
    <mergeCell ref="A8:D8"/>
    <mergeCell ref="E8:L8"/>
    <mergeCell ref="A9:B9"/>
    <mergeCell ref="C9:D9"/>
    <mergeCell ref="E9:F9"/>
    <mergeCell ref="G9:M9"/>
    <mergeCell ref="A10:D10"/>
    <mergeCell ref="E10:M10"/>
    <mergeCell ref="A11:D11"/>
    <mergeCell ref="E11:F11"/>
    <mergeCell ref="G11:M28"/>
    <mergeCell ref="A12:D12"/>
    <mergeCell ref="E12:F12"/>
    <mergeCell ref="A13:D13"/>
    <mergeCell ref="A14:D14"/>
    <mergeCell ref="E14:F14"/>
    <mergeCell ref="A15:D15"/>
    <mergeCell ref="E15:F15"/>
    <mergeCell ref="A16:D16"/>
    <mergeCell ref="E16:F16"/>
    <mergeCell ref="A19:D19"/>
    <mergeCell ref="E19:F19"/>
    <mergeCell ref="A20:D20"/>
    <mergeCell ref="E20:F20"/>
    <mergeCell ref="A17:D17"/>
    <mergeCell ref="E17:F17"/>
    <mergeCell ref="A18:D18"/>
    <mergeCell ref="E18:F18"/>
    <mergeCell ref="A23:D23"/>
    <mergeCell ref="E23:F23"/>
    <mergeCell ref="A24:D24"/>
    <mergeCell ref="E24:F24"/>
    <mergeCell ref="A21:D21"/>
    <mergeCell ref="E21:F21"/>
    <mergeCell ref="A22:D22"/>
    <mergeCell ref="E22:F22"/>
    <mergeCell ref="A27:D27"/>
    <mergeCell ref="E27:F27"/>
    <mergeCell ref="A28:D28"/>
    <mergeCell ref="E28:F28"/>
    <mergeCell ref="A25:D25"/>
    <mergeCell ref="E25:F25"/>
    <mergeCell ref="A26:D26"/>
    <mergeCell ref="E26:F26"/>
    <mergeCell ref="A29:M29"/>
    <mergeCell ref="A30:M34"/>
    <mergeCell ref="E37:F37"/>
    <mergeCell ref="G37:H37"/>
    <mergeCell ref="I37:M37"/>
    <mergeCell ref="I60:K60"/>
    <mergeCell ref="L60:N60"/>
    <mergeCell ref="I63:K63"/>
    <mergeCell ref="L63:N63"/>
    <mergeCell ref="I64:K64"/>
    <mergeCell ref="L64:N64"/>
    <mergeCell ref="I61:K61"/>
    <mergeCell ref="L61:N61"/>
    <mergeCell ref="I62:K62"/>
    <mergeCell ref="L62:N62"/>
    <mergeCell ref="I67:K67"/>
    <mergeCell ref="L67:N67"/>
    <mergeCell ref="I68:K68"/>
    <mergeCell ref="L68:N68"/>
    <mergeCell ref="I65:K65"/>
    <mergeCell ref="L65:N65"/>
    <mergeCell ref="I66:K66"/>
    <mergeCell ref="L66:N66"/>
    <mergeCell ref="I71:K71"/>
    <mergeCell ref="L71:N71"/>
    <mergeCell ref="I72:K72"/>
    <mergeCell ref="L72:N72"/>
    <mergeCell ref="I69:K69"/>
    <mergeCell ref="L69:N69"/>
    <mergeCell ref="I70:K70"/>
    <mergeCell ref="L70:N70"/>
    <mergeCell ref="I75:K75"/>
    <mergeCell ref="L75:N75"/>
    <mergeCell ref="I76:K76"/>
    <mergeCell ref="L76:N76"/>
    <mergeCell ref="I73:K73"/>
    <mergeCell ref="L73:N73"/>
    <mergeCell ref="I74:K74"/>
    <mergeCell ref="L74:N74"/>
    <mergeCell ref="I79:K79"/>
    <mergeCell ref="L79:N79"/>
    <mergeCell ref="I80:K80"/>
    <mergeCell ref="L80:N80"/>
    <mergeCell ref="I77:K77"/>
    <mergeCell ref="L77:N77"/>
    <mergeCell ref="I78:K78"/>
    <mergeCell ref="L78:N78"/>
    <mergeCell ref="I83:K83"/>
    <mergeCell ref="L83:N83"/>
    <mergeCell ref="I84:K84"/>
    <mergeCell ref="L84:N84"/>
    <mergeCell ref="I81:K81"/>
    <mergeCell ref="L81:N81"/>
    <mergeCell ref="I82:K82"/>
    <mergeCell ref="L82:N82"/>
    <mergeCell ref="I87:K87"/>
    <mergeCell ref="L87:N87"/>
    <mergeCell ref="I88:K88"/>
    <mergeCell ref="L88:N88"/>
    <mergeCell ref="I85:K85"/>
    <mergeCell ref="L85:N85"/>
    <mergeCell ref="I86:K86"/>
    <mergeCell ref="L86:N86"/>
    <mergeCell ref="I91:K91"/>
    <mergeCell ref="L91:N91"/>
    <mergeCell ref="I92:K92"/>
    <mergeCell ref="L92:N92"/>
    <mergeCell ref="I89:K89"/>
    <mergeCell ref="L89:N89"/>
    <mergeCell ref="I90:K90"/>
    <mergeCell ref="L90:N90"/>
    <mergeCell ref="I95:K95"/>
    <mergeCell ref="L95:N95"/>
    <mergeCell ref="I96:K96"/>
    <mergeCell ref="L96:N96"/>
    <mergeCell ref="I93:K93"/>
    <mergeCell ref="L93:N93"/>
    <mergeCell ref="I94:K94"/>
    <mergeCell ref="L94:N94"/>
    <mergeCell ref="I99:K99"/>
    <mergeCell ref="L99:N99"/>
    <mergeCell ref="I100:K100"/>
    <mergeCell ref="L100:N100"/>
    <mergeCell ref="I97:K97"/>
    <mergeCell ref="L97:N97"/>
    <mergeCell ref="I98:K98"/>
    <mergeCell ref="L98:N98"/>
    <mergeCell ref="I103:K103"/>
    <mergeCell ref="L103:N103"/>
    <mergeCell ref="I107:K107"/>
    <mergeCell ref="L107:N107"/>
    <mergeCell ref="I101:K101"/>
    <mergeCell ref="L101:N101"/>
    <mergeCell ref="I102:K102"/>
    <mergeCell ref="L102:N102"/>
    <mergeCell ref="I108:K108"/>
    <mergeCell ref="L108:N108"/>
    <mergeCell ref="I104:K104"/>
    <mergeCell ref="L104:N104"/>
    <mergeCell ref="I105:K105"/>
    <mergeCell ref="L105:N105"/>
    <mergeCell ref="I106:K106"/>
    <mergeCell ref="L106:N106"/>
  </mergeCells>
  <dataValidations count="32">
    <dataValidation type="list" allowBlank="1" showErrorMessage="1" sqref="E38:E57">
      <formula1>$Y$45:$Z$45</formula1>
      <formula2>0</formula2>
    </dataValidation>
    <dataValidation type="list" allowBlank="1" showErrorMessage="1" sqref="D38:D57">
      <formula1>$Y$46:$Z$46</formula1>
      <formula2>0</formula2>
    </dataValidation>
    <dataValidation type="list" allowBlank="1" showErrorMessage="1" sqref="P19">
      <formula1>$Q$19:$W$19</formula1>
      <formula2>0</formula2>
    </dataValidation>
    <dataValidation type="list" allowBlank="1" showErrorMessage="1" sqref="P20">
      <formula1>$Q$20:$U$20</formula1>
      <formula2>0</formula2>
    </dataValidation>
    <dataValidation type="list" allowBlank="1" showErrorMessage="1" sqref="P22">
      <formula1>$Q$22:$S$22</formula1>
      <formula2>0</formula2>
    </dataValidation>
    <dataValidation type="list" allowBlank="1" showErrorMessage="1" sqref="P23">
      <formula1>$Q$23:$S$23</formula1>
      <formula2>0</formula2>
    </dataValidation>
    <dataValidation type="list" allowBlank="1" showErrorMessage="1" sqref="N24:P24 E24:F24">
      <formula1>$Q$24:$R$24</formula1>
      <formula2>0</formula2>
    </dataValidation>
    <dataValidation type="list" allowBlank="1" showErrorMessage="1" sqref="N25:P25 E25:F25">
      <formula1>$Q$25:$R$25</formula1>
      <formula2>0</formula2>
    </dataValidation>
    <dataValidation type="list" allowBlank="1" showErrorMessage="1" sqref="P26:P34">
      <formula1>$Q$26:$T$26</formula1>
      <formula2>0</formula2>
    </dataValidation>
    <dataValidation type="list" allowBlank="1" showErrorMessage="1" sqref="N21:P21 E21:F21">
      <formula1>$Q$21:$X$21</formula1>
      <formula2>0</formula2>
    </dataValidation>
    <dataValidation type="list" allowBlank="1" showErrorMessage="1" sqref="N19">
      <formula1>$AU$19:$AZ$19</formula1>
      <formula2>0</formula2>
    </dataValidation>
    <dataValidation type="list" allowBlank="1" showErrorMessage="1" sqref="O19">
      <formula1>$BE$19:$BJ$19</formula1>
      <formula2>0</formula2>
    </dataValidation>
    <dataValidation type="list" allowBlank="1" showErrorMessage="1" sqref="N20">
      <formula1>$AU$20:$AX$20</formula1>
      <formula2>0</formula2>
    </dataValidation>
    <dataValidation type="list" allowBlank="1" showErrorMessage="1" sqref="O20">
      <formula1>$BE$20:$BH$20</formula1>
      <formula2>0</formula2>
    </dataValidation>
    <dataValidation type="list" allowBlank="1" showErrorMessage="1" sqref="N26">
      <formula1>$AU$26:$AX$26</formula1>
      <formula2>0</formula2>
    </dataValidation>
    <dataValidation type="list" allowBlank="1" showErrorMessage="1" sqref="O26:O28">
      <formula1>$BE$26:$BH$26</formula1>
      <formula2>0</formula2>
    </dataValidation>
    <dataValidation type="list" allowBlank="1" showErrorMessage="1" sqref="E22:F22">
      <formula1>$Q$22:$T$22</formula1>
      <formula2>0</formula2>
    </dataValidation>
    <dataValidation type="list" allowBlank="1" showErrorMessage="1" sqref="E23:F23">
      <formula1>$Q$23:$T$23</formula1>
      <formula2>0</formula2>
    </dataValidation>
    <dataValidation type="list" allowBlank="1" showErrorMessage="1" sqref="N22">
      <formula1>$AU$22:$AX$22</formula1>
      <formula2>0</formula2>
    </dataValidation>
    <dataValidation type="list" allowBlank="1" showErrorMessage="1" sqref="N23">
      <formula1>$AU$23:$AX$23</formula1>
      <formula2>0</formula2>
    </dataValidation>
    <dataValidation type="list" allowBlank="1" showErrorMessage="1" sqref="O22">
      <formula1>$BE$22:$BH$22</formula1>
      <formula2>0</formula2>
    </dataValidation>
    <dataValidation type="list" allowBlank="1" showErrorMessage="1" sqref="O23">
      <formula1>$BE$23:$BH$23</formula1>
      <formula2>0</formula2>
    </dataValidation>
    <dataValidation type="list" allowBlank="1" showErrorMessage="1" sqref="E27:F27">
      <formula1>$Q$27:$R$27</formula1>
      <formula2>0</formula2>
    </dataValidation>
    <dataValidation type="list" allowBlank="1" showErrorMessage="1" sqref="E28:F28">
      <formula1>$Q$28:$R$28</formula1>
      <formula2>0</formula2>
    </dataValidation>
    <dataValidation type="list" allowBlank="1" showErrorMessage="1" sqref="E19:F19">
      <formula1>$Q$19:$V$19</formula1>
      <formula2>0</formula2>
    </dataValidation>
    <dataValidation type="list" allowBlank="1" showErrorMessage="1" sqref="E26:F26">
      <formula1>$S$26:$V$26</formula1>
      <formula2>0</formula2>
    </dataValidation>
    <dataValidation type="list" allowBlank="1" showErrorMessage="1" sqref="E20:F20">
      <formula1>$Q$20:$T$20</formula1>
      <formula2>0</formula2>
    </dataValidation>
    <dataValidation type="list" allowBlank="1" showErrorMessage="1" sqref="P13:P14">
      <formula1>$S$13:$T$13</formula1>
      <formula2>0</formula2>
    </dataValidation>
    <dataValidation type="list" allowBlank="1" showErrorMessage="1" sqref="E12 N12:P12">
      <formula1>$Q$12:$R$12</formula1>
      <formula2>0</formula2>
    </dataValidation>
    <dataValidation type="list" allowBlank="1" showErrorMessage="1" sqref="O13:O14">
      <formula1>$BE$13:$BH$13</formula1>
      <formula2>0</formula2>
    </dataValidation>
    <dataValidation type="list" allowBlank="1" showErrorMessage="1" sqref="N13:N14">
      <formula1>$AU$13:$AX$13</formula1>
      <formula2>0</formula2>
    </dataValidation>
    <dataValidation type="list" allowBlank="1" showErrorMessage="1" sqref="E9:F9">
      <formula1>$Q$9:$V$9</formula1>
      <formula2>0</formula2>
    </dataValidation>
  </dataValidations>
  <hyperlinks>
    <hyperlink ref="E7" r:id="rId1"/>
  </hyperlinks>
  <printOptions horizontalCentered="1" verticalCentered="1"/>
  <pageMargins left="0.19652777777777999" right="0.19652777777777999" top="0.19652777777777999" bottom="0.19652777777777999" header="0.51180555555555995" footer="0.51180555555555995"/>
  <pageSetup paperSize="9" orientation="portrait" r:id="rId2"/>
  <rowBreaks count="1" manualBreakCount="1">
    <brk id="76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15" customHeight="1" x14ac:dyDescent="0.25"/>
  <sheetData/>
  <sheetProtection selectLockedCells="1" selectUnlockedCells="1"/>
  <pageMargins left="0.7" right="0.7" top="0.75" bottom="0.75" header="0.51180555555555995" footer="0.5118055555555599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 заказа</vt:lpstr>
      <vt:lpstr>Лист1</vt:lpstr>
      <vt:lpstr>Excel_BuiltIn__FilterDatabase</vt:lpstr>
      <vt:lpstr>'Бланк заказа'!Область_печати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PC-1</cp:lastModifiedBy>
  <cp:revision/>
  <dcterms:created xsi:type="dcterms:W3CDTF">2016-08-25T13:32:26Z</dcterms:created>
  <dcterms:modified xsi:type="dcterms:W3CDTF">2021-11-29T13:29:37Z</dcterms:modified>
  <cp:category/>
  <cp:contentStatus/>
</cp:coreProperties>
</file>